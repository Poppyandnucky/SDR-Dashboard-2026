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hidePivotFieldList="1"/>
  <mc:AlternateContent xmlns:mc="http://schemas.openxmlformats.org/markup-compatibility/2006">
    <mc:Choice Requires="x15">
      <x15ac:absPath xmlns:x15ac="http://schemas.microsoft.com/office/spreadsheetml/2010/11/ac" url="https://livejohnshopkins-my.sharepoint.com/personal/mchen148_jh_edu/Documents/Kakamega SDR Project/MOMISH interventions/"/>
    </mc:Choice>
  </mc:AlternateContent>
  <xr:revisionPtr revIDLastSave="0" documentId="8_{C6B01E8E-F1CF-45DF-8EF0-CC7CF5974F6B}" xr6:coauthVersionLast="47" xr6:coauthVersionMax="47" xr10:uidLastSave="{00000000-0000-0000-0000-000000000000}"/>
  <bookViews>
    <workbookView xWindow="34560" yWindow="500" windowWidth="37960" windowHeight="19920" firstSheet="3" activeTab="3" xr2:uid="{6CC30468-BC49-8F49-9905-3CA78B959EEE}"/>
  </bookViews>
  <sheets>
    <sheet name="Refresh_timestamp" sheetId="35" state="hidden" r:id="rId1"/>
    <sheet name="Info" sheetId="30" r:id="rId2"/>
    <sheet name="Update Plan" sheetId="37" r:id="rId3"/>
    <sheet name="Append" sheetId="34" r:id="rId4"/>
    <sheet name="DHS_inventory2" sheetId="43" r:id="rId5"/>
    <sheet name="DHS_inventory" sheetId="41" r:id="rId6"/>
    <sheet name="Column_header_list" sheetId="31" state="hidden" r:id="rId7"/>
    <sheet name="Contents" sheetId="15" r:id="rId8"/>
    <sheet name="sampled_params" sheetId="14" r:id="rId9"/>
    <sheet name="interv_params" sheetId="1" r:id="rId10"/>
    <sheet name="constants" sheetId="2" r:id="rId11"/>
    <sheet name="cost_params" sheetId="3" r:id="rId12"/>
    <sheet name="disability_weights" sheetId="4" r:id="rId13"/>
    <sheet name="array_constants" sheetId="5" r:id="rId14"/>
    <sheet name="counties" sheetId="6" r:id="rId15"/>
    <sheet name="county_demographics" sheetId="7" r:id="rId16"/>
    <sheet name="county_facilities" sheetId="8" r:id="rId17"/>
    <sheet name="county_calibrated" sheetId="9" r:id="rId18"/>
    <sheet name="county_supply" sheetId="10" r:id="rId19"/>
    <sheet name="calibration_targets" sheetId="11" r:id="rId20"/>
    <sheet name="slider_parameters" sheetId="12" r:id="rId21"/>
    <sheet name="lookup_tables" sheetId="13" r:id="rId22"/>
  </sheets>
  <externalReferences>
    <externalReference r:id="rId23"/>
  </externalReferences>
  <definedNames>
    <definedName name="_xlnm._FilterDatabase" localSheetId="4" hidden="1">DHS_inventory2!$A$1:$M$454</definedName>
    <definedName name="ExternalData_1" localSheetId="3" hidden="1">Append!$A$2:$P$760</definedName>
    <definedName name="ExternalData_1" localSheetId="0" hidden="1">'Refresh_timestamp'!$A$1:$A$2</definedName>
  </definedNames>
  <calcPr calcId="191028"/>
  <pivotCaches>
    <pivotCache cacheId="1575"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6" i="10" l="1"/>
  <c r="D82" i="10"/>
  <c r="D78" i="10"/>
  <c r="D68" i="10"/>
  <c r="D63" i="10"/>
  <c r="D58" i="10"/>
  <c r="D48" i="10"/>
  <c r="D43" i="10"/>
  <c r="D38" i="10"/>
  <c r="E21" i="7"/>
  <c r="D21" i="7"/>
  <c r="E20" i="7"/>
  <c r="D20" i="7"/>
  <c r="E19" i="7"/>
  <c r="D19" i="7"/>
  <c r="D94" i="10"/>
  <c r="C35" i="7"/>
  <c r="D11" i="10"/>
  <c r="D15" i="10"/>
  <c r="C12" i="11"/>
  <c r="C13" i="11"/>
  <c r="C11" i="11"/>
  <c r="C8" i="11"/>
  <c r="C9" i="11"/>
  <c r="C7" i="11"/>
  <c r="C17" i="11"/>
  <c r="C5" i="11" s="1"/>
  <c r="C16" i="11"/>
  <c r="C4" i="11" s="1"/>
  <c r="C15" i="11"/>
  <c r="C3" i="11" s="1"/>
  <c r="D1" i="30" a="1"/>
  <c r="D1" i="30" s="1"/>
  <c r="E23" i="30" a="1"/>
  <c r="E23" i="30" s="1"/>
  <c r="D14" i="31" a="1"/>
  <c r="D6" i="31" a="1"/>
  <c r="D7" i="31" a="1"/>
  <c r="D16" i="31" a="1"/>
  <c r="D13" i="31" a="1"/>
  <c r="D15" i="31" a="1"/>
  <c r="D17" i="31" a="1"/>
  <c r="D18" i="31" a="1"/>
  <c r="D10" i="31" a="1"/>
  <c r="D5" i="31" a="1"/>
  <c r="D11" i="31" a="1"/>
  <c r="D12" i="31" a="1"/>
  <c r="D8" i="31" a="1"/>
  <c r="D9" i="31" a="1"/>
  <c r="D12" i="31" l="1"/>
  <c r="D11" i="31"/>
  <c r="D17" i="31"/>
  <c r="D9" i="31"/>
  <c r="D15" i="31"/>
  <c r="D8" i="31"/>
  <c r="D14" i="31"/>
  <c r="D7" i="31"/>
  <c r="D18" i="31"/>
  <c r="D10" i="31"/>
  <c r="D16" i="31"/>
  <c r="D13" i="31"/>
  <c r="D6" i="31"/>
  <c r="D5" i="31"/>
  <c r="M30" i="31" l="1"/>
  <c r="AA30" i="31"/>
  <c r="E30" i="31"/>
  <c r="G30" i="31"/>
  <c r="N30" i="31"/>
  <c r="C30" i="31"/>
  <c r="S30" i="31"/>
  <c r="O30" i="31"/>
  <c r="D30" i="31"/>
  <c r="R30" i="31"/>
  <c r="U30" i="31"/>
  <c r="P30" i="31"/>
  <c r="Q30" i="31"/>
  <c r="Z30" i="31"/>
  <c r="AB30" i="31"/>
  <c r="AE30" i="31"/>
  <c r="X30" i="31"/>
  <c r="L30" i="31"/>
  <c r="F30" i="31"/>
  <c r="I30" i="31"/>
  <c r="AF30" i="31"/>
  <c r="K30" i="31"/>
  <c r="T30" i="31"/>
  <c r="AC30" i="31"/>
  <c r="W30" i="31"/>
  <c r="J30" i="31"/>
  <c r="Y30" i="31"/>
  <c r="H30" i="31"/>
  <c r="V30" i="31"/>
  <c r="AD30" i="31"/>
  <c r="G36" i="31"/>
  <c r="U36" i="31"/>
  <c r="AC36" i="31"/>
  <c r="K36" i="31"/>
  <c r="Z36" i="31"/>
  <c r="H36" i="31"/>
  <c r="V36" i="31"/>
  <c r="AD36" i="31"/>
  <c r="Y36" i="31"/>
  <c r="AA36" i="31"/>
  <c r="Q36" i="31"/>
  <c r="I36" i="31"/>
  <c r="W36" i="31"/>
  <c r="AE36" i="31"/>
  <c r="N36" i="31"/>
  <c r="J36" i="31"/>
  <c r="X36" i="31"/>
  <c r="AF36" i="31"/>
  <c r="L36" i="31"/>
  <c r="O36" i="31"/>
  <c r="C36" i="31"/>
  <c r="D36" i="31"/>
  <c r="E36" i="31"/>
  <c r="M36" i="31"/>
  <c r="S36" i="31"/>
  <c r="T36" i="31"/>
  <c r="R36" i="31"/>
  <c r="F36" i="31"/>
  <c r="AB36" i="31"/>
  <c r="P36" i="31"/>
  <c r="E38" i="31"/>
  <c r="S38" i="31"/>
  <c r="F38" i="31"/>
  <c r="T38" i="31"/>
  <c r="AB38" i="31"/>
  <c r="X38" i="31"/>
  <c r="K38" i="31"/>
  <c r="G38" i="31"/>
  <c r="U38" i="31"/>
  <c r="AC38" i="31"/>
  <c r="I38" i="31"/>
  <c r="W38" i="31"/>
  <c r="AE38" i="31"/>
  <c r="AF38" i="31"/>
  <c r="H38" i="31"/>
  <c r="V38" i="31"/>
  <c r="AD38" i="31"/>
  <c r="J38" i="31"/>
  <c r="Z38" i="31"/>
  <c r="M38" i="31"/>
  <c r="C38" i="31"/>
  <c r="Y38" i="31"/>
  <c r="L38" i="31"/>
  <c r="P38" i="31"/>
  <c r="D38" i="31"/>
  <c r="AA38" i="31"/>
  <c r="O38" i="31"/>
  <c r="Q38" i="31"/>
  <c r="R38" i="31"/>
  <c r="N38" i="31"/>
  <c r="I27" i="31"/>
  <c r="W27" i="31"/>
  <c r="AE27" i="31"/>
  <c r="N27" i="31"/>
  <c r="J27" i="31"/>
  <c r="X27" i="31"/>
  <c r="AF27" i="31"/>
  <c r="M27" i="31"/>
  <c r="O27" i="31"/>
  <c r="K27" i="31"/>
  <c r="Y27" i="31"/>
  <c r="L27" i="31"/>
  <c r="Z27" i="31"/>
  <c r="AA27" i="31"/>
  <c r="AB27" i="31"/>
  <c r="E27" i="31"/>
  <c r="T27" i="31"/>
  <c r="AC27" i="31"/>
  <c r="C27" i="31"/>
  <c r="U27" i="31"/>
  <c r="G27" i="31"/>
  <c r="V27" i="31"/>
  <c r="AD27" i="31"/>
  <c r="P27" i="31"/>
  <c r="Q27" i="31"/>
  <c r="S27" i="31"/>
  <c r="F27" i="31"/>
  <c r="H27" i="31"/>
  <c r="D27" i="31"/>
  <c r="R27" i="31"/>
  <c r="I34" i="31"/>
  <c r="W34" i="31"/>
  <c r="AE34" i="31"/>
  <c r="M34" i="31"/>
  <c r="J34" i="31"/>
  <c r="X34" i="31"/>
  <c r="AF34" i="31"/>
  <c r="N34" i="31"/>
  <c r="K34" i="31"/>
  <c r="Y34" i="31"/>
  <c r="AA34" i="31"/>
  <c r="L34" i="31"/>
  <c r="Z34" i="31"/>
  <c r="O34" i="31"/>
  <c r="S34" i="31"/>
  <c r="T34" i="31"/>
  <c r="U34" i="31"/>
  <c r="H34" i="31"/>
  <c r="E34" i="31"/>
  <c r="F34" i="31"/>
  <c r="G34" i="31"/>
  <c r="P34" i="31"/>
  <c r="C34" i="31"/>
  <c r="AB34" i="31"/>
  <c r="AD34" i="31"/>
  <c r="Q34" i="31"/>
  <c r="AC34" i="31"/>
  <c r="V34" i="31"/>
  <c r="D34" i="31"/>
  <c r="R34" i="31"/>
  <c r="O28" i="31"/>
  <c r="U28" i="31"/>
  <c r="H28" i="31"/>
  <c r="L28" i="31"/>
  <c r="P28" i="31"/>
  <c r="E28" i="31"/>
  <c r="G28" i="31"/>
  <c r="V28" i="31"/>
  <c r="C28" i="31"/>
  <c r="Q28" i="31"/>
  <c r="S28" i="31"/>
  <c r="F28" i="31"/>
  <c r="T28" i="31"/>
  <c r="AB28" i="31"/>
  <c r="AD28" i="31"/>
  <c r="Z28" i="31"/>
  <c r="D28" i="31"/>
  <c r="R28" i="31"/>
  <c r="AC28" i="31"/>
  <c r="I28" i="31"/>
  <c r="W28" i="31"/>
  <c r="K28" i="31"/>
  <c r="AE28" i="31"/>
  <c r="Y28" i="31"/>
  <c r="AA28" i="31"/>
  <c r="M28" i="31"/>
  <c r="N28" i="31"/>
  <c r="J28" i="31"/>
  <c r="X28" i="31"/>
  <c r="AF28" i="31"/>
  <c r="O35" i="31"/>
  <c r="F35" i="31"/>
  <c r="U35" i="31"/>
  <c r="P35" i="31"/>
  <c r="E35" i="31"/>
  <c r="T35" i="31"/>
  <c r="C35" i="31"/>
  <c r="Q35" i="31"/>
  <c r="S35" i="31"/>
  <c r="AB35" i="31"/>
  <c r="G35" i="31"/>
  <c r="D35" i="31"/>
  <c r="R35" i="31"/>
  <c r="AC35" i="31"/>
  <c r="AD35" i="31"/>
  <c r="I35" i="31"/>
  <c r="V35" i="31"/>
  <c r="Y35" i="31"/>
  <c r="Z35" i="31"/>
  <c r="N35" i="31"/>
  <c r="W35" i="31"/>
  <c r="M35" i="31"/>
  <c r="H35" i="31"/>
  <c r="AE35" i="31"/>
  <c r="K35" i="31"/>
  <c r="L35" i="31"/>
  <c r="AA35" i="31"/>
  <c r="J35" i="31"/>
  <c r="X35" i="31"/>
  <c r="AF35" i="31"/>
  <c r="G29" i="31"/>
  <c r="U29" i="31"/>
  <c r="AC29" i="31"/>
  <c r="Y29" i="31"/>
  <c r="H29" i="31"/>
  <c r="V29" i="31"/>
  <c r="AD29" i="31"/>
  <c r="K29" i="31"/>
  <c r="M29" i="31"/>
  <c r="D29" i="31"/>
  <c r="I29" i="31"/>
  <c r="W29" i="31"/>
  <c r="AE29" i="31"/>
  <c r="L29" i="31"/>
  <c r="Z29" i="31"/>
  <c r="AA29" i="31"/>
  <c r="J29" i="31"/>
  <c r="X29" i="31"/>
  <c r="AF29" i="31"/>
  <c r="S29" i="31"/>
  <c r="E29" i="31"/>
  <c r="F29" i="31"/>
  <c r="T29" i="31"/>
  <c r="N29" i="31"/>
  <c r="O29" i="31"/>
  <c r="AB29" i="31"/>
  <c r="P29" i="31"/>
  <c r="C29" i="31"/>
  <c r="Q29" i="31"/>
  <c r="R29" i="31"/>
  <c r="M37" i="31"/>
  <c r="AA37" i="31"/>
  <c r="S37" i="31"/>
  <c r="F37" i="31"/>
  <c r="W37" i="31"/>
  <c r="N37" i="31"/>
  <c r="D37" i="31"/>
  <c r="O37" i="31"/>
  <c r="C37" i="31"/>
  <c r="R37" i="31"/>
  <c r="E37" i="31"/>
  <c r="I37" i="31"/>
  <c r="P37" i="31"/>
  <c r="Q37" i="31"/>
  <c r="AE37" i="31"/>
  <c r="AC37" i="31"/>
  <c r="X37" i="31"/>
  <c r="Y37" i="31"/>
  <c r="Z37" i="31"/>
  <c r="AB37" i="31"/>
  <c r="J37" i="31"/>
  <c r="L37" i="31"/>
  <c r="G37" i="31"/>
  <c r="T37" i="31"/>
  <c r="U37" i="31"/>
  <c r="AF37" i="31"/>
  <c r="K37" i="31"/>
  <c r="H37" i="31"/>
  <c r="V37" i="31"/>
  <c r="AD37" i="31"/>
  <c r="E31" i="31"/>
  <c r="S31" i="31"/>
  <c r="I31" i="31"/>
  <c r="F31" i="31"/>
  <c r="T31" i="31"/>
  <c r="AB31" i="31"/>
  <c r="W31" i="31"/>
  <c r="X31" i="31"/>
  <c r="G31" i="31"/>
  <c r="U31" i="31"/>
  <c r="AC31" i="31"/>
  <c r="J31" i="31"/>
  <c r="AF31" i="31"/>
  <c r="K31" i="31"/>
  <c r="H31" i="31"/>
  <c r="V31" i="31"/>
  <c r="AD31" i="31"/>
  <c r="AE31" i="31"/>
  <c r="Y31" i="31"/>
  <c r="AA31" i="31"/>
  <c r="P31" i="31"/>
  <c r="C31" i="31"/>
  <c r="M31" i="31"/>
  <c r="Q31" i="31"/>
  <c r="Z31" i="31"/>
  <c r="D31" i="31"/>
  <c r="L31" i="31"/>
  <c r="R31" i="31"/>
  <c r="N31" i="31"/>
  <c r="O31" i="31"/>
  <c r="K32" i="31"/>
  <c r="Y32" i="31"/>
  <c r="P32" i="31"/>
  <c r="C32" i="31"/>
  <c r="L32" i="31"/>
  <c r="Z32" i="31"/>
  <c r="Q32" i="31"/>
  <c r="E32" i="31"/>
  <c r="M32" i="31"/>
  <c r="AA32" i="31"/>
  <c r="O32" i="31"/>
  <c r="N32" i="31"/>
  <c r="U32" i="31"/>
  <c r="AD32" i="31"/>
  <c r="AE32" i="31"/>
  <c r="J32" i="31"/>
  <c r="D32" i="31"/>
  <c r="H32" i="31"/>
  <c r="W32" i="31"/>
  <c r="R32" i="31"/>
  <c r="S32" i="31"/>
  <c r="AC32" i="31"/>
  <c r="V32" i="31"/>
  <c r="X32" i="31"/>
  <c r="I32" i="31"/>
  <c r="AF32" i="31"/>
  <c r="F32" i="31"/>
  <c r="T32" i="31"/>
  <c r="AB32" i="31"/>
  <c r="G32" i="31"/>
  <c r="C26" i="31"/>
  <c r="Q26" i="31"/>
  <c r="G26" i="31"/>
  <c r="W26" i="31"/>
  <c r="D26" i="31"/>
  <c r="R26" i="31"/>
  <c r="AD26" i="31"/>
  <c r="E26" i="31"/>
  <c r="S26" i="31"/>
  <c r="AC26" i="31"/>
  <c r="V26" i="31"/>
  <c r="F26" i="31"/>
  <c r="T26" i="31"/>
  <c r="AB26" i="31"/>
  <c r="U26" i="31"/>
  <c r="AE26" i="31"/>
  <c r="Y26" i="31"/>
  <c r="O26" i="31"/>
  <c r="P26" i="31"/>
  <c r="H26" i="31"/>
  <c r="I26" i="31"/>
  <c r="K26" i="31"/>
  <c r="N26" i="31"/>
  <c r="J26" i="31"/>
  <c r="X26" i="31"/>
  <c r="AF26" i="31"/>
  <c r="L26" i="31"/>
  <c r="Z26" i="31"/>
  <c r="M26" i="31"/>
  <c r="AA26" i="31"/>
  <c r="Q33" i="31"/>
  <c r="AD33" i="31"/>
  <c r="AE33" i="31"/>
  <c r="R33" i="31"/>
  <c r="G33" i="31"/>
  <c r="E33" i="31"/>
  <c r="S33" i="31"/>
  <c r="U33" i="31"/>
  <c r="H33" i="31"/>
  <c r="W33" i="31"/>
  <c r="F33" i="31"/>
  <c r="T33" i="31"/>
  <c r="AB33" i="31"/>
  <c r="AC33" i="31"/>
  <c r="V33" i="31"/>
  <c r="Y33" i="31"/>
  <c r="J33" i="31"/>
  <c r="AF33" i="31"/>
  <c r="K33" i="31"/>
  <c r="I33" i="31"/>
  <c r="N33" i="31"/>
  <c r="P33" i="31"/>
  <c r="X33" i="31"/>
  <c r="M33" i="31"/>
  <c r="O33" i="31"/>
  <c r="L33" i="31"/>
  <c r="Z33" i="31"/>
  <c r="AA33" i="31"/>
  <c r="C25" i="31"/>
  <c r="D25" i="31"/>
  <c r="R25" i="31"/>
  <c r="W25" i="31"/>
  <c r="J25" i="31"/>
  <c r="Z25" i="31"/>
  <c r="N25" i="31"/>
  <c r="Q25" i="31"/>
  <c r="E25" i="31"/>
  <c r="S25" i="31"/>
  <c r="I25" i="31"/>
  <c r="AF25" i="31"/>
  <c r="Y25" i="31"/>
  <c r="M25" i="31"/>
  <c r="F25" i="31"/>
  <c r="T25" i="31"/>
  <c r="AB25" i="31"/>
  <c r="AD25" i="31"/>
  <c r="X25" i="31"/>
  <c r="L25" i="31"/>
  <c r="O25" i="31"/>
  <c r="G25" i="31"/>
  <c r="U25" i="31"/>
  <c r="AC25" i="31"/>
  <c r="V25" i="31"/>
  <c r="AE25" i="31"/>
  <c r="K25" i="31"/>
  <c r="AA25" i="31"/>
  <c r="P25" i="31"/>
  <c r="H25" i="3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5E8F96-0DE2-ED45-B1F3-94557E98B110}" keepAlive="1" name="Query - Append" description="Connection to the 'Append' query in the workbook." type="5" refreshedVersion="8" background="1" saveData="1">
    <dbPr connection="Provider=Microsoft.Mashup.OleDb.1;Data Source=$Workbook$;Location=Append;Extended Properties=&quot;&quot;" command="SELECT * FROM [Append]"/>
  </connection>
  <connection id="2" xr16:uid="{D5A61035-B340-9648-8A4E-A1F603057A00}" keepAlive="1" name="Query - array_constants" description="Connection to the 'array_constants' query in the workbook." type="5" refreshedVersion="8" background="1" saveData="1">
    <dbPr connection="Provider=Microsoft.Mashup.OleDb.1;Data Source=$Workbook$;Location=array_constants;Extended Properties=&quot;&quot;" command="SELECT * FROM [array_constants]"/>
  </connection>
  <connection id="3" xr16:uid="{F8503B2E-D676-B64C-9371-90856F968612}" keepAlive="1" name="Query - calibration_targets" description="Connection to the 'calibration_targets' query in the workbook." type="5" refreshedVersion="8" background="1" saveData="1">
    <dbPr connection="Provider=Microsoft.Mashup.OleDb.1;Data Source=$Workbook$;Location=calibration_targets;Extended Properties=&quot;&quot;" command="SELECT * FROM [calibration_targets]"/>
  </connection>
  <connection id="4" xr16:uid="{3A2C6098-2866-A94A-8F16-8949E9583205}" keepAlive="1" name="Query - constants" description="Connection to the 'constants' query in the workbook." type="5" refreshedVersion="0" background="1">
    <dbPr connection="Provider=Microsoft.Mashup.OleDb.1;Data Source=$Workbook$;Location=constants;Extended Properties=&quot;&quot;" command="SELECT * FROM [constants]"/>
  </connection>
  <connection id="5" xr16:uid="{EC907F9E-6A37-E249-A38C-717C3AF950B8}" keepAlive="1" name="Query - cost_params" description="Connection to the 'cost_params' query in the workbook." type="5" refreshedVersion="8" background="1" saveData="1">
    <dbPr connection="Provider=Microsoft.Mashup.OleDb.1;Data Source=$Workbook$;Location=cost_params;Extended Properties=&quot;&quot;" command="SELECT * FROM [cost_params]"/>
  </connection>
  <connection id="6" xr16:uid="{A74B983A-30BA-D849-9D66-B7CEBD526467}" keepAlive="1" name="Query - county_calibrated" description="Connection to the 'county_calibrated' query in the workbook." type="5" refreshedVersion="8" background="1" saveData="1">
    <dbPr connection="Provider=Microsoft.Mashup.OleDb.1;Data Source=$Workbook$;Location=county_calibrated;Extended Properties=&quot;&quot;" command="SELECT * FROM [county_calibrated]"/>
  </connection>
  <connection id="7" xr16:uid="{F11B477A-513A-E24B-8205-9B732C9E412F}" keepAlive="1" name="Query - county_demographics" description="Connection to the 'county_demographics' query in the workbook." type="5" refreshedVersion="8" background="1" saveData="1">
    <dbPr connection="Provider=Microsoft.Mashup.OleDb.1;Data Source=$Workbook$;Location=county_demographics;Extended Properties=&quot;&quot;" command="SELECT * FROM [county_demographics]"/>
  </connection>
  <connection id="8" xr16:uid="{6BCA287D-F2B1-E54A-994E-18373B77257B}" keepAlive="1" name="Query - county_facilities" description="Connection to the 'county_facilities' query in the workbook." type="5" refreshedVersion="8" background="1" saveData="1">
    <dbPr connection="Provider=Microsoft.Mashup.OleDb.1;Data Source=$Workbook$;Location=county_facilities;Extended Properties=&quot;&quot;" command="SELECT * FROM [county_facilities]"/>
  </connection>
  <connection id="9" xr16:uid="{3CFB423D-D4BE-7343-B2C1-108FBC2BF28C}" keepAlive="1" name="Query - county_supply" description="Connection to the 'county_supply' query in the workbook." type="5" refreshedVersion="8" background="1" saveData="1">
    <dbPr connection="Provider=Microsoft.Mashup.OleDb.1;Data Source=$Workbook$;Location=county_supply;Extended Properties=&quot;&quot;" command="SELECT * FROM [county_supply]"/>
  </connection>
  <connection id="10" xr16:uid="{EAA819E8-C3DD-F348-B676-B014BC16A226}" keepAlive="1" name="Query - disability_weights" description="Connection to the 'disability_weights' query in the workbook." type="5" refreshedVersion="8" background="1" saveData="1">
    <dbPr connection="Provider=Microsoft.Mashup.OleDb.1;Data Source=$Workbook$;Location=disability_weights;Extended Properties=&quot;&quot;" command="SELECT * FROM [disability_weights]"/>
  </connection>
  <connection id="11" xr16:uid="{17FAD69F-31F6-7840-8187-396F6107E4E8}" keepAlive="1" name="Query - interv_params" description="Connection to the 'interv_params' query in the workbook." type="5" refreshedVersion="0" background="1">
    <dbPr connection="Provider=Microsoft.Mashup.OleDb.1;Data Source=$Workbook$;Location=interv_params;Extended Properties=&quot;&quot;" command="SELECT * FROM [interv_params]"/>
  </connection>
  <connection id="12" xr16:uid="{F22B609C-6DF5-0142-9609-12C85FDBAE2C}" keepAlive="1" name="Query - lookup_tables" description="Connection to the 'lookup_tables' query in the workbook." type="5" refreshedVersion="8" background="1" saveData="1">
    <dbPr connection="Provider=Microsoft.Mashup.OleDb.1;Data Source=$Workbook$;Location=lookup_tables;Extended Properties=&quot;&quot;" command="SELECT * FROM [lookup_tables]"/>
  </connection>
  <connection id="13" xr16:uid="{1FDDE04F-6CF3-1547-8A33-463494A41C95}" keepAlive="1" name="Query - Refresh_timestamp" description="Connection to the 'Refresh_timestamp' query in the workbook." type="5" refreshedVersion="8" background="1" saveData="1">
    <dbPr connection="Provider=Microsoft.Mashup.OleDb.1;Data Source=$Workbook$;Location=Refresh_timestamp;Extended Properties=&quot;&quot;" command="SELECT * FROM [Refresh_timestamp]"/>
  </connection>
  <connection id="14" xr16:uid="{59EDDDE4-142B-6F4F-AC41-AB6E25835FF0}" keepAlive="1" name="Query - sampled_params" description="Connection to the 'sampled_params' query in the workbook." type="5" refreshedVersion="0" background="1">
    <dbPr connection="Provider=Microsoft.Mashup.OleDb.1;Data Source=$Workbook$;Location=sampled_params;Extended Properties=&quot;&quot;" command="SELECT * FROM [sampled_params]"/>
  </connection>
  <connection id="15" xr16:uid="{D7A928F0-B279-144E-A28D-8968390399D4}" keepAlive="1" name="Query - slider_parameters" description="Connection to the 'slider_parameters' query in the workbook." type="5" refreshedVersion="0" background="1">
    <dbPr connection="Provider=Microsoft.Mashup.OleDb.1;Data Source=$Workbook$;Location=slider_parameters;Extended Properties=&quot;&quot;" command="SELECT * FROM [slider_paramet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<sst xmlns="http://schemas.openxmlformats.org/spreadsheetml/2006/main" count="10622" uniqueCount="1087">
  <si>
    <t>Refresh_timestamp</t>
  </si>
  <si>
    <t xml:space="preserve">Append table last refreshed: </t>
  </si>
  <si>
    <t>Changes Made</t>
  </si>
  <si>
    <t>Reformatted all sheets data ranges as tables</t>
  </si>
  <si>
    <t>Loaded all tables (exception - Contents, counties) into Power Query</t>
  </si>
  <si>
    <t>Updated Contents sheet names for consistency</t>
  </si>
  <si>
    <t>reviewed column headers on column_header_list sheet</t>
  </si>
  <si>
    <t>reformatted the following sheets to be unpivoted format</t>
  </si>
  <si>
    <t>county_facilities</t>
  </si>
  <si>
    <t>renamed columns in the following sheets to be consistent with other tables</t>
  </si>
  <si>
    <t>disability_weights</t>
  </si>
  <si>
    <t>calibration_targets</t>
  </si>
  <si>
    <t>slider_parameters</t>
  </si>
  <si>
    <t>lookup_tables</t>
  </si>
  <si>
    <t>cost_parameters</t>
  </si>
  <si>
    <t>appended all tables with the exception of contents and counties</t>
  </si>
  <si>
    <t>Maintenance Notes</t>
  </si>
  <si>
    <t>if changes are made to source sheets (i.e. adding parameter values), will need to refresh the append tab</t>
  </si>
  <si>
    <t>Go to Append</t>
  </si>
  <si>
    <t>Click table</t>
  </si>
  <si>
    <t>Navigate to Data &gt; Refresh &gt; Refresh All</t>
  </si>
  <si>
    <t>adding, removing, or updating column headers may require a change in powerquery editor</t>
  </si>
  <si>
    <t>make all changes to the specific source sheets, do not make changes to the Append table</t>
  </si>
  <si>
    <t>Questions</t>
  </si>
  <si>
    <t>what does duration_years in the disability_weights sheet mean? It is blank</t>
  </si>
  <si>
    <t>Source Priority Order:</t>
  </si>
  <si>
    <t>MOMISH Data &gt; DHS &gt; Literature</t>
  </si>
  <si>
    <t>Review and determine which parameters are available</t>
  </si>
  <si>
    <t>Assignment</t>
  </si>
  <si>
    <t>Notes</t>
  </si>
  <si>
    <t>MOMISH Data inventory</t>
  </si>
  <si>
    <t>May</t>
  </si>
  <si>
    <t>DHS Inventory</t>
  </si>
  <si>
    <t>Kelly</t>
  </si>
  <si>
    <t>Task</t>
  </si>
  <si>
    <t>County</t>
  </si>
  <si>
    <t>Data Source</t>
  </si>
  <si>
    <t># Parameters</t>
  </si>
  <si>
    <t>Note</t>
  </si>
  <si>
    <t>county_demographics</t>
  </si>
  <si>
    <t>Mombasa, Kisii, Makueni</t>
  </si>
  <si>
    <t>DHS or MOMISH Data  - Compare Results</t>
  </si>
  <si>
    <t>Mombasa</t>
  </si>
  <si>
    <t>New literature</t>
  </si>
  <si>
    <t>Kisii</t>
  </si>
  <si>
    <t>Makueni</t>
  </si>
  <si>
    <t>county_supply</t>
  </si>
  <si>
    <t>Calculated / derived</t>
  </si>
  <si>
    <t>confirming if in DHS, not in Croke paper</t>
  </si>
  <si>
    <t>Calibrated / derived</t>
  </si>
  <si>
    <t>Calculated</t>
  </si>
  <si>
    <t>Formula used - expect you can use the same formula for the other counties</t>
  </si>
  <si>
    <t>kl update county_facilities reorg</t>
  </si>
  <si>
    <t>literature - calibration targets double check that its not specific to kakamega</t>
  </si>
  <si>
    <t>Low Priority</t>
  </si>
  <si>
    <t>add sources for blue sheets (non-county level)</t>
  </si>
  <si>
    <t>for slides when we preseent can add the parameters we plan to use the data</t>
  </si>
  <si>
    <t>put together a list of what we need for data sources</t>
  </si>
  <si>
    <t xml:space="preserve">starting point list of data </t>
  </si>
  <si>
    <t>Row Labels</t>
  </si>
  <si>
    <t>county_calibrated</t>
  </si>
  <si>
    <t>kisii</t>
  </si>
  <si>
    <t>(blank)</t>
  </si>
  <si>
    <t>assumed values for testing effect of ultrasound - not used at this time</t>
  </si>
  <si>
    <t>makueni</t>
  </si>
  <si>
    <t>mombasa</t>
  </si>
  <si>
    <t>unknown and not needed at this time</t>
  </si>
  <si>
    <t>MOMISH Data: PROMPTS_Data_20250724_v3</t>
  </si>
  <si>
    <t>MOMISH Data - TBD how to capture LOC</t>
  </si>
  <si>
    <t>MOMISH Data: PROMPTS_Data_20250724_v4</t>
  </si>
  <si>
    <t>MOMISH Data: PROMPTS_Data_20250724_v5</t>
  </si>
  <si>
    <t>MOMISH Data</t>
  </si>
  <si>
    <t>56% of people in Kenya paid for IV iron out of pocket (Chhatwal &amp; Ennis, 2022)</t>
  </si>
  <si>
    <t>Coverage of corticosteroids: Gwako et al. (2013), Kenya
Coverage of antibiotics: Limited evidence data, assumed the same level as corticosteriods</t>
  </si>
  <si>
    <t>It is innovative multi-component intervention by E-MOTIVE trial (Williams et al., 2024)</t>
  </si>
  <si>
    <t>Kibira et al. (2020)</t>
  </si>
  <si>
    <t>Omulo et al. (2022), Kenya</t>
  </si>
  <si>
    <t>Owolabi et al. (2020), Kenya</t>
  </si>
  <si>
    <t>Owolabi et al. (2020), Kenya; MOMISH Data: 2024_Kisii FQA Analysis_Jan _20240131</t>
  </si>
  <si>
    <t>Owolabi et al. (2020), Kenya; MOMISH Data: 2024_Kisii FQA Analysis_Jan _20240132</t>
  </si>
  <si>
    <t>Owolabi et al. (2020), Kenya; MOMISH Data: 2024_Kisii FQA Analysis_Jan _20240133</t>
  </si>
  <si>
    <t>Omulo et al. (2022), Kenya; MOMISH Data: Facility Indicators_20250717_v3</t>
  </si>
  <si>
    <t>Omulo et al. (2022), Kenya; MOMISH Data: Facility Indicators_20250717_v4</t>
  </si>
  <si>
    <t>Omulo et al. (2022), Kenya; MOMISH Data: Facility Indicators_20250717_v5</t>
  </si>
  <si>
    <t>Owolabi et al. (2020), Kenya; MOMISH Data: 2024_Makueni FQA Analysis _Jan_20240131</t>
  </si>
  <si>
    <t>Owolabi et al. (2020), Kenya; MOMISH Data: 2024_Makueni FQA Analysis _Jan_20240132</t>
  </si>
  <si>
    <t>Owolabi et al. (2020), Kenya; MOMISH Data: 2024_Makueni FQA Analysis _Jan_20240133</t>
  </si>
  <si>
    <t>Grand Total</t>
  </si>
  <si>
    <t>Note: Do not make changes to this page. Make changes on the specific source sheet, and refresh this table and the change will be updated here</t>
  </si>
  <si>
    <t>parameter_name</t>
  </si>
  <si>
    <t>value</t>
  </si>
  <si>
    <t>ci_lower</t>
  </si>
  <si>
    <t>ci_upper</t>
  </si>
  <si>
    <t>n</t>
  </si>
  <si>
    <t>kind</t>
  </si>
  <si>
    <t>category</t>
  </si>
  <si>
    <t>description</t>
  </si>
  <si>
    <t>note</t>
  </si>
  <si>
    <t>source</t>
  </si>
  <si>
    <t>source_sheet</t>
  </si>
  <si>
    <t>index</t>
  </si>
  <si>
    <t>county</t>
  </si>
  <si>
    <t>facility_level</t>
  </si>
  <si>
    <t>unit</t>
  </si>
  <si>
    <t>duration_years</t>
  </si>
  <si>
    <t>p_lb_l23_45</t>
  </si>
  <si>
    <t>proportion</t>
  </si>
  <si>
    <t>facility</t>
  </si>
  <si>
    <t>P(LB at L4/5 given incoming maternal referrals)</t>
  </si>
  <si>
    <t>Waiswa et al. (2020), Kenya and Uganda</t>
  </si>
  <si>
    <t>sampled_params</t>
  </si>
  <si>
    <t>CS_AVD_ratio</t>
  </si>
  <si>
    <t>ratio of CS to AVD at L4/5</t>
  </si>
  <si>
    <t>Kakamega's facility EMS records</t>
  </si>
  <si>
    <t>OR_preterm_ANC</t>
  </si>
  <si>
    <t>OR</t>
  </si>
  <si>
    <t>gestational_age</t>
  </si>
  <si>
    <t>OR preterm birth given adequate ANC</t>
  </si>
  <si>
    <t>Li et ail. (2022), USA</t>
  </si>
  <si>
    <t>E_Preterm_LMP_preterm</t>
  </si>
  <si>
    <t>P(predict preterm given actually preterm) by LMP</t>
  </si>
  <si>
    <t>Dietz et al. (2007), USA</t>
  </si>
  <si>
    <t>E_Preterm_LMP_atterm</t>
  </si>
  <si>
    <t>P(predict preterm given actually at-term) by LMP</t>
  </si>
  <si>
    <t>E_Postterm_LMP_preterm</t>
  </si>
  <si>
    <t>P(predict postterm given actually preterm) by LMP</t>
  </si>
  <si>
    <t>E_Postterm_LMP_atterm</t>
  </si>
  <si>
    <t>P(predict postterm given actually at-term) by LMP</t>
  </si>
  <si>
    <t>p_PL_GA_37</t>
  </si>
  <si>
    <t>intrapartum</t>
  </si>
  <si>
    <t>P(prolonged labor given GA=37)</t>
  </si>
  <si>
    <t>Caughey et al. (2008), USA</t>
  </si>
  <si>
    <t>p_PL_GA_38</t>
  </si>
  <si>
    <t>P(prolonged labor given GA=38)</t>
  </si>
  <si>
    <t>p_PL_GA_39</t>
  </si>
  <si>
    <t>P(prolonged labor given GA=39)</t>
  </si>
  <si>
    <t>p_PL_GA_40</t>
  </si>
  <si>
    <t>P(prolonged labor given GA=40)</t>
  </si>
  <si>
    <t>p_PL_GA_41</t>
  </si>
  <si>
    <t>P(prolonged labor given GA=41)</t>
  </si>
  <si>
    <t>p_PL_GA_42</t>
  </si>
  <si>
    <t>P(prolonged labor given GA&gt;=42)</t>
  </si>
  <si>
    <t>p_OL_notprolonged</t>
  </si>
  <si>
    <t>P(OL given not prolonged)</t>
  </si>
  <si>
    <t>this is in one array: p_OL in code</t>
  </si>
  <si>
    <t>Girma (2022), Ethiopia</t>
  </si>
  <si>
    <t>p_OL_prolonged</t>
  </si>
  <si>
    <t>P(OL given prolonged)</t>
  </si>
  <si>
    <t>p_hypoxia</t>
  </si>
  <si>
    <t>probability of hypoxia</t>
  </si>
  <si>
    <t>Elvander (2011), Sweden</t>
  </si>
  <si>
    <t>p_mat_sepsis_OL</t>
  </si>
  <si>
    <t>complications</t>
  </si>
  <si>
    <t>P(maternal sepsis given OL)</t>
  </si>
  <si>
    <t>Yeshitila (2022), Ethiopia</t>
  </si>
  <si>
    <t>p_mat_sepsis_elective_CS</t>
  </si>
  <si>
    <t>P(maternal sepsis given elective CS)</t>
  </si>
  <si>
    <t>Darnal and Dangal (2020), Nepal</t>
  </si>
  <si>
    <t>p_mat_sepsis_emergency_CS</t>
  </si>
  <si>
    <t>P(maternal sepsis given emergency CS)</t>
  </si>
  <si>
    <t>p_pph_OL</t>
  </si>
  <si>
    <t>P(PPH given OL)</t>
  </si>
  <si>
    <t>Solita (2010), Kakamega</t>
  </si>
  <si>
    <t>p_pph_elective_CS</t>
  </si>
  <si>
    <t>P(PPH given elective CS)</t>
  </si>
  <si>
    <t>p_pph_emergency_CS</t>
  </si>
  <si>
    <t>P(PPH given emergency CS)</t>
  </si>
  <si>
    <t>p_stillbirth_OL</t>
  </si>
  <si>
    <t>P(stillbirth given OL)</t>
  </si>
  <si>
    <t>p_asphyxia_OL</t>
  </si>
  <si>
    <t>P(asphyxia given OL)</t>
  </si>
  <si>
    <t>Wosenu (2018), Ethiopia</t>
  </si>
  <si>
    <t>p_neo_sepsis_OL</t>
  </si>
  <si>
    <t>P(neonatal sepsis given OL)</t>
  </si>
  <si>
    <t>p_comp_anemia</t>
  </si>
  <si>
    <t>probability of anemia</t>
  </si>
  <si>
    <t>Odhiambo et al. (2020), Kenya</t>
  </si>
  <si>
    <t>RR_comp_highrisk_vs_lowrisk</t>
  </si>
  <si>
    <t>RR</t>
  </si>
  <si>
    <t>relative_risk</t>
  </si>
  <si>
    <t>RR complications high vs low risk</t>
  </si>
  <si>
    <t>Rajbanshi el al. (2020), Nepal, we use the risk ratio of high-risk pregancies having severe maternal morbidity as proxy here</t>
  </si>
  <si>
    <t>RR_comp_severe_highrisk_vs_lowrisk</t>
  </si>
  <si>
    <t>RR severe complications high vs low risk</t>
  </si>
  <si>
    <t>Rajbanshi et al. (2020), Nepal</t>
  </si>
  <si>
    <t>or_anc_anemia</t>
  </si>
  <si>
    <t>OR anemia without ANC</t>
  </si>
  <si>
    <t>Saapiire et al. (2022), Ghana</t>
  </si>
  <si>
    <t>or_anemia_pph</t>
  </si>
  <si>
    <t>OR PPH given anemia</t>
  </si>
  <si>
    <t>Mansukhani et al. (2023), LMICs</t>
  </si>
  <si>
    <t>or_anemia_sepsis</t>
  </si>
  <si>
    <t>OR sepsis given anemia</t>
  </si>
  <si>
    <t>Melkie et al. (2021), review</t>
  </si>
  <si>
    <t>or_anemia_eclampsia</t>
  </si>
  <si>
    <t>OR eclampsia given anemia</t>
  </si>
  <si>
    <t>Kawabata et al. (2022), Japan</t>
  </si>
  <si>
    <t>OR_MM_CSvsSVD</t>
  </si>
  <si>
    <t>OR maternal mortality CS vs SVD</t>
  </si>
  <si>
    <t>Fink et al. (2023), USA</t>
  </si>
  <si>
    <t>OR_MM_EmCSvsELCS</t>
  </si>
  <si>
    <t>OR maternal mortality emergency vs elective CS</t>
  </si>
  <si>
    <t>OR_MM_transfer</t>
  </si>
  <si>
    <t>OR maternal mortality by transfer</t>
  </si>
  <si>
    <t>McIsaac et al. (2017), USA</t>
  </si>
  <si>
    <t>OR_NM_transfer</t>
  </si>
  <si>
    <t>OR neonatal mortality by transfer</t>
  </si>
  <si>
    <t>Carvalho ER AL. (2020), Brazil</t>
  </si>
  <si>
    <t>sen_prolonged_IS</t>
  </si>
  <si>
    <t>sensor</t>
  </si>
  <si>
    <t>sensitivity predicting prolonged labor by IS</t>
  </si>
  <si>
    <t>Pan (2022), review</t>
  </si>
  <si>
    <t>spec_prolonged_IS</t>
  </si>
  <si>
    <t>specificity predicting prolonged labor by IS</t>
  </si>
  <si>
    <t>sen_ol_IS</t>
  </si>
  <si>
    <t>sensitivity predicting OL by IS</t>
  </si>
  <si>
    <t>Gilboa, (2014) Israel</t>
  </si>
  <si>
    <t>sen_hypoxia_IS</t>
  </si>
  <si>
    <t>sensitivity predicting hypoxia by IS</t>
  </si>
  <si>
    <t>Comert (2019)</t>
  </si>
  <si>
    <t>spec_hypoxia_IS</t>
  </si>
  <si>
    <t>specificity predicting hypoxia by IS</t>
  </si>
  <si>
    <t>OR_RDS_treat</t>
  </si>
  <si>
    <t>fixed</t>
  </si>
  <si>
    <t>preterm</t>
  </si>
  <si>
    <t>OR preterm having RDS given treatment</t>
  </si>
  <si>
    <t>Gabbe et al. (2016)</t>
  </si>
  <si>
    <t>interv_params</t>
  </si>
  <si>
    <t>OR_IVH_treat</t>
  </si>
  <si>
    <t>OR preterm having IVH given treatment</t>
  </si>
  <si>
    <t>OR_NEC_treat</t>
  </si>
  <si>
    <t>OR preterm having NEC given treatment</t>
  </si>
  <si>
    <t>Reed et al. (2018)</t>
  </si>
  <si>
    <t>RR_Sepsis_treat</t>
  </si>
  <si>
    <t>RR preterm having sepsis given treatment</t>
  </si>
  <si>
    <t>Li et al. (2017)</t>
  </si>
  <si>
    <t>E_pph_bundle</t>
  </si>
  <si>
    <t>maternal</t>
  </si>
  <si>
    <t>efficacy of PPH bundle</t>
  </si>
  <si>
    <t>Gallos el al. (2023)</t>
  </si>
  <si>
    <t>E_iv_iron</t>
  </si>
  <si>
    <t>efficacy of IV iron for anemia</t>
  </si>
  <si>
    <t>Cancado et al. (2011), 70% of anemia can be corrected</t>
  </si>
  <si>
    <t>E_MgSO4</t>
  </si>
  <si>
    <t>efficacy of MgSO4 for eclampsia</t>
  </si>
  <si>
    <t>Duley et al. (2010), review</t>
  </si>
  <si>
    <t>E_antibiotics</t>
  </si>
  <si>
    <t>efficacy of antibiotics for sepsis</t>
  </si>
  <si>
    <t>Ahizechukwu C. Eke et al. (2023), LMICs</t>
  </si>
  <si>
    <t>E_oxytocin</t>
  </si>
  <si>
    <t>efficacy of oxytocin</t>
  </si>
  <si>
    <t>Rouse et al. (1999)</t>
  </si>
  <si>
    <t>phone_ownership</t>
  </si>
  <si>
    <t>PROMPTS</t>
  </si>
  <si>
    <t>phone ownership rate</t>
  </si>
  <si>
    <t>intervention_fidelity</t>
  </si>
  <si>
    <t>intervention fidelity</t>
  </si>
  <si>
    <t>OR_anc4p</t>
  </si>
  <si>
    <t>OR for 4+ ANC</t>
  </si>
  <si>
    <t>sen_risk_trad_target</t>
  </si>
  <si>
    <t>target sensitivity when mothers recognize danger signs</t>
  </si>
  <si>
    <t>spec_risk_trad_target</t>
  </si>
  <si>
    <t>target specificity when mothers recognize danger signs</t>
  </si>
  <si>
    <t>p_move_home_base</t>
  </si>
  <si>
    <t>P(move from home at baseline)</t>
  </si>
  <si>
    <t>p_blood_needed_aph</t>
  </si>
  <si>
    <t>Blood Tracking</t>
  </si>
  <si>
    <t>probability that patient needs blood given they have antepartum hemorrhage</t>
  </si>
  <si>
    <t>population was higher risk (cases of severe maternal outcomes only), 54 Kenyan referral hospitals</t>
  </si>
  <si>
    <t>Owolabi et al. (2020)</t>
  </si>
  <si>
    <t>p_blood_needed_pph</t>
  </si>
  <si>
    <t>probability that patient needs blood given they have postpartum hemorrhage</t>
  </si>
  <si>
    <t>included facilities with cesarean capabilities and &gt;1000 deliveries; 352 facilities in 28 countries, including Kenya</t>
  </si>
  <si>
    <t>Sheldon et al. (2014)</t>
  </si>
  <si>
    <t>OR_blood</t>
  </si>
  <si>
    <t>odds of death given blood transfusion vs no blood transfusion</t>
  </si>
  <si>
    <t>Senegal and Mali</t>
  </si>
  <si>
    <t>Tort, et al. (2015)</t>
  </si>
  <si>
    <t>GA_distribution</t>
  </si>
  <si>
    <t>GA 27 weeks count</t>
  </si>
  <si>
    <t>array_constants</t>
  </si>
  <si>
    <t>GA 28 weeks count</t>
  </si>
  <si>
    <t>GA 29 weeks count</t>
  </si>
  <si>
    <t>GA 30 weeks count</t>
  </si>
  <si>
    <t>GA 31 weeks count</t>
  </si>
  <si>
    <t>GA 32 weeks count</t>
  </si>
  <si>
    <t>GA 33 weeks count</t>
  </si>
  <si>
    <t>GA 34 weeks count</t>
  </si>
  <si>
    <t>GA 35 weeks count</t>
  </si>
  <si>
    <t>GA 36 weeks count</t>
  </si>
  <si>
    <t>GA 37 weeks count</t>
  </si>
  <si>
    <t>GA 38 weeks count</t>
  </si>
  <si>
    <t>GA 39 weeks count</t>
  </si>
  <si>
    <t>GA 40 weeks count</t>
  </si>
  <si>
    <t>GA 41 weeks count</t>
  </si>
  <si>
    <t>GA 42 weeks count</t>
  </si>
  <si>
    <t>GA 43 weeks count</t>
  </si>
  <si>
    <t>GA 44 weeks count</t>
  </si>
  <si>
    <t>GA_anc</t>
  </si>
  <si>
    <t>P(GA=27 given ANC)</t>
  </si>
  <si>
    <t>P(GA=28 given ANC)</t>
  </si>
  <si>
    <t>P(GA=29 given ANC)</t>
  </si>
  <si>
    <t>P(GA=30 given ANC)</t>
  </si>
  <si>
    <t>P(GA=31 given ANC)</t>
  </si>
  <si>
    <t>P(GA=32 given ANC)</t>
  </si>
  <si>
    <t>P(GA=33 given ANC)</t>
  </si>
  <si>
    <t>P(GA=34 given ANC)</t>
  </si>
  <si>
    <t>P(GA=35 given ANC)</t>
  </si>
  <si>
    <t>P(GA=36 given ANC)</t>
  </si>
  <si>
    <t>P(GA=37 given ANC)</t>
  </si>
  <si>
    <t>P(GA=38 given ANC)</t>
  </si>
  <si>
    <t>P(GA=39 given ANC)</t>
  </si>
  <si>
    <t>P(GA=40 given ANC)</t>
  </si>
  <si>
    <t>P(GA=41 given ANC)</t>
  </si>
  <si>
    <t>P(GA=42 given ANC)</t>
  </si>
  <si>
    <t>P(GA=43 given ANC)</t>
  </si>
  <si>
    <t>P(GA=44 given ANC)</t>
  </si>
  <si>
    <t>GA_noanc</t>
  </si>
  <si>
    <t>P(GA=27 given no ANC)</t>
  </si>
  <si>
    <t>P(GA=28 given no ANC)</t>
  </si>
  <si>
    <t>P(GA=29 given no ANC)</t>
  </si>
  <si>
    <t>P(GA=30 given no ANC)</t>
  </si>
  <si>
    <t>P(GA=31 given no ANC)</t>
  </si>
  <si>
    <t>P(GA=32 given no ANC)</t>
  </si>
  <si>
    <t>P(GA=33 given no ANC)</t>
  </si>
  <si>
    <t>P(GA=34 given no ANC)</t>
  </si>
  <si>
    <t>P(GA=35 given no ANC)</t>
  </si>
  <si>
    <t>P(GA=36 given no ANC)</t>
  </si>
  <si>
    <t>P(GA=37 given no ANC)</t>
  </si>
  <si>
    <t>P(GA=38 given no ANC)</t>
  </si>
  <si>
    <t>P(GA=39 given no ANC)</t>
  </si>
  <si>
    <t>P(GA=40 given no ANC)</t>
  </si>
  <si>
    <t>P(GA=41 given no ANC)</t>
  </si>
  <si>
    <t>P(GA=42 given no ANC)</t>
  </si>
  <si>
    <t>P(GA=43 given no ANC)</t>
  </si>
  <si>
    <t>P(GA=44 given no ANC)</t>
  </si>
  <si>
    <t>GA_sequence</t>
  </si>
  <si>
    <t>GA sequence start</t>
  </si>
  <si>
    <t>GA sequence</t>
  </si>
  <si>
    <t>GA sequence end</t>
  </si>
  <si>
    <t>p_RDS_noT</t>
  </si>
  <si>
    <t>P(RDS given GA=27, no treatment)</t>
  </si>
  <si>
    <t>P(RDS given GA=28, no treatment)</t>
  </si>
  <si>
    <t>P(RDS given GA=29, no treatment)</t>
  </si>
  <si>
    <t>P(RDS given GA=30, no treatment)</t>
  </si>
  <si>
    <t>P(RDS given GA=31, no treatment)</t>
  </si>
  <si>
    <t>P(RDS given GA=32, no treatment)</t>
  </si>
  <si>
    <t>P(RDS given GA=33, no treatment)</t>
  </si>
  <si>
    <t>P(RDS given GA=34, no treatment)</t>
  </si>
  <si>
    <t>P(RDS given GA=35, no treatment)</t>
  </si>
  <si>
    <t>P(RDS given GA=36, no treatment)</t>
  </si>
  <si>
    <t>P(RDS given GA=37, no treatment)</t>
  </si>
  <si>
    <t>P(RDS given GA=38, no treatment)</t>
  </si>
  <si>
    <t>P(RDS given GA=39, no treatment)</t>
  </si>
  <si>
    <t>P(RDS given GA=40, no treatment)</t>
  </si>
  <si>
    <t>P(RDS given GA=41, no treatment)</t>
  </si>
  <si>
    <t>P(RDS given GA=42, no treatment)</t>
  </si>
  <si>
    <t>P(RDS given GA=43, no treatment)</t>
  </si>
  <si>
    <t>P(RDS given GA=44, no treatment)</t>
  </si>
  <si>
    <t>D_RDS</t>
  </si>
  <si>
    <t>P(death given RDS, GA&lt;32)</t>
  </si>
  <si>
    <t>one array</t>
  </si>
  <si>
    <t>P(death given RDS, GA&gt;=32)</t>
  </si>
  <si>
    <t>E_GA_US</t>
  </si>
  <si>
    <t>GA ultrasound error SD</t>
  </si>
  <si>
    <t>GA ultrasound error mean</t>
  </si>
  <si>
    <t>1st_stage_time_normal</t>
  </si>
  <si>
    <t>1st stage duration mean (minutes) for normal delivery</t>
  </si>
  <si>
    <t>1st stage duration SD (minutes) for normal delivery</t>
  </si>
  <si>
    <t>2nd_stage_time_normal</t>
  </si>
  <si>
    <t>2nd stage duration mean (minutes) for normal delivery</t>
  </si>
  <si>
    <t>2nd stage duration SD (minutes) for normal delivery</t>
  </si>
  <si>
    <t>1st_stage_time_abnormal</t>
  </si>
  <si>
    <t>1st stage duration mean (minutes) for abnormal delivery</t>
  </si>
  <si>
    <t>1st stage duration SD (minutes) for abnormal delivery</t>
  </si>
  <si>
    <t>2nd_stage_time_abnormal</t>
  </si>
  <si>
    <t>2nd stage duration mean (minutes) for abnormal delivery</t>
  </si>
  <si>
    <t>2nd stage duration SD (minutes) for abnormal delivery</t>
  </si>
  <si>
    <t>n_population</t>
  </si>
  <si>
    <t>County population</t>
  </si>
  <si>
    <t>KDHS (2019)</t>
  </si>
  <si>
    <t>kakamega</t>
  </si>
  <si>
    <t>n_CHV</t>
  </si>
  <si>
    <t>Number of CHVs</t>
  </si>
  <si>
    <t>unused - do not need at this time</t>
  </si>
  <si>
    <t>NA</t>
  </si>
  <si>
    <t>p_highrisk</t>
  </si>
  <si>
    <t>P(high risk pregnancy)</t>
  </si>
  <si>
    <t>source includes Kakamega &amp; Kisumu</t>
  </si>
  <si>
    <t>Bagayoko (2023), Kenya</t>
  </si>
  <si>
    <t>(uses Kakamega/Kisumu source; assuming low variability across counties)</t>
  </si>
  <si>
    <t>(uses Kakamega/Kisumu source; assuming low variability across counties) Backup reference - has rate of different high risk factors but does not develop a composite Mirieri et al (2024), Mombasa</t>
  </si>
  <si>
    <t>p_ANC_base</t>
  </si>
  <si>
    <t>P(4+ ANC visits)</t>
  </si>
  <si>
    <t>DHS 2019, Kenya</t>
  </si>
  <si>
    <t>Sheet: ANC 4+ Rate_Biannual (KHIS data 4+ Mums 2025 Q1)</t>
  </si>
  <si>
    <t>class</t>
  </si>
  <si>
    <t>Wealth/education class proxy</t>
  </si>
  <si>
    <t>see MOMISH DHS.R for calculation</t>
  </si>
  <si>
    <t>close_to_L23</t>
  </si>
  <si>
    <t>P(closest facility is L2/3)</t>
  </si>
  <si>
    <t>source includes Kakamega</t>
  </si>
  <si>
    <t>Croke et al. (2024)</t>
  </si>
  <si>
    <t>cannot find, let's use 0.89 for now</t>
  </si>
  <si>
    <t>base_knowledge_L23</t>
  </si>
  <si>
    <t>HCW knowledge score at L2/3</t>
  </si>
  <si>
    <t>Nimako (2020), Kakamega</t>
  </si>
  <si>
    <t xml:space="preserve">see "Summary" sheet. Used Knowledge scores of nurses/clinical officers/medical officers (Pre Test). </t>
  </si>
  <si>
    <t>MENTORS_data_20250724_v3</t>
  </si>
  <si>
    <t>base_knowledge_L45</t>
  </si>
  <si>
    <t>HCW knowledge score at L4/5</t>
  </si>
  <si>
    <t>Capacity</t>
  </si>
  <si>
    <t>Monthly L4/5 capacity (34777/12)</t>
  </si>
  <si>
    <t>Monthly L4/5 capacity</t>
  </si>
  <si>
    <t>home_noANC</t>
  </si>
  <si>
    <t>P(home delivery given no ANC)</t>
  </si>
  <si>
    <t>Parameter adjusted in the 1st phase calibration</t>
  </si>
  <si>
    <t>l45_fac</t>
  </si>
  <si>
    <t>P(L4/5 given facility, no ANC)</t>
  </si>
  <si>
    <t>home_lowrisk</t>
  </si>
  <si>
    <t>P(home given low risk)</t>
  </si>
  <si>
    <t>L23_highrisk</t>
  </si>
  <si>
    <t>P(L2/3 given high risk)</t>
  </si>
  <si>
    <t>sen_risk_trad</t>
  </si>
  <si>
    <t>Sensitivity traditional risk detection</t>
  </si>
  <si>
    <t>spec_risk_trad</t>
  </si>
  <si>
    <t>Specificity traditional risk detection</t>
  </si>
  <si>
    <t>PT_scale</t>
  </si>
  <si>
    <t>Preterm scaling factor</t>
  </si>
  <si>
    <t>Calibrated to match preterm birth rate</t>
  </si>
  <si>
    <t>p_elec_CS|highrisk</t>
  </si>
  <si>
    <t>P(elective CS given high risk)</t>
  </si>
  <si>
    <t>Parameter adjusted in the 2nd phase calibration</t>
  </si>
  <si>
    <t>p_elec_CS|preterm</t>
  </si>
  <si>
    <t>P(elective CS given preterm)</t>
  </si>
  <si>
    <t>from tingting: p_elec_CS|preterm is unknown parameter, which is calibrated, so from the python code, I firstly let predicted high-risk mothers have CS, then let other predicted preterm mothers have CS, so it is given preterm but NOT high risk. But you do not need to really care about the definition as its value will be found during calibration process, not by literature</t>
  </si>
  <si>
    <t>p_elec_CS|highrisk_us</t>
  </si>
  <si>
    <t>P(elective CS given high risk by US)</t>
  </si>
  <si>
    <t>not used at this time</t>
  </si>
  <si>
    <t>p_elec_CS|preterm_us</t>
  </si>
  <si>
    <t>P(elective CS given preterm by US)</t>
  </si>
  <si>
    <t>p_aph</t>
  </si>
  <si>
    <t>P(antepartum hemorrhage)</t>
  </si>
  <si>
    <t>p_eclampsia</t>
  </si>
  <si>
    <t>P(eclampsia)</t>
  </si>
  <si>
    <t>p_ruptured_uterus</t>
  </si>
  <si>
    <t>P(ruptured uterus)</t>
  </si>
  <si>
    <t>p_OL_scale</t>
  </si>
  <si>
    <t>OL scaling factor</t>
  </si>
  <si>
    <t>p_pph_other</t>
  </si>
  <si>
    <t>P(PPH given other delivery)</t>
  </si>
  <si>
    <t>p_mat_sepsis_other</t>
  </si>
  <si>
    <t>P(maternal sepsis given other delivery)</t>
  </si>
  <si>
    <t>p_cs_capacity</t>
  </si>
  <si>
    <t>CS capacity at home</t>
  </si>
  <si>
    <t>assumption</t>
  </si>
  <si>
    <t>CS capacity at L2/3</t>
  </si>
  <si>
    <t>CS capacity at L4</t>
  </si>
  <si>
    <t>CS capacity at L5</t>
  </si>
  <si>
    <t>p_cs_capacity_sdr</t>
  </si>
  <si>
    <t>CS capacity SDR at home</t>
  </si>
  <si>
    <t>double check in code</t>
  </si>
  <si>
    <t>CS capacity SDR at L2/3</t>
  </si>
  <si>
    <t>CS capacity SDR at L4</t>
  </si>
  <si>
    <t>CS capacity SDR at L5</t>
  </si>
  <si>
    <t>p_cs_capacity_sensor</t>
  </si>
  <si>
    <t>CS capacity sensor at home</t>
  </si>
  <si>
    <t>CS capacity sensor at L2/3</t>
  </si>
  <si>
    <t>CS capacity sensor at L4</t>
  </si>
  <si>
    <t>CS capacity sensor at L5</t>
  </si>
  <si>
    <t>p_cs_capacity_sdr_sensor</t>
  </si>
  <si>
    <t>CS capacity SDR+sensor at home</t>
  </si>
  <si>
    <t>CS capacity SDR+sensor at L2/3</t>
  </si>
  <si>
    <t>CS capacity SDR+sensor at L4</t>
  </si>
  <si>
    <t>CS capacity SDR+sensor at L5</t>
  </si>
  <si>
    <t>p_MM_others</t>
  </si>
  <si>
    <t>P(maternal death given other causes)</t>
  </si>
  <si>
    <t>Parameter adjusted in the 3rd phase calibration</t>
  </si>
  <si>
    <t>MM_weight_pph</t>
  </si>
  <si>
    <t>Weight of PPH in MMR calculation</t>
  </si>
  <si>
    <t>MM_weight_sepsis</t>
  </si>
  <si>
    <t>Weight of sepsis in MMR calculation</t>
  </si>
  <si>
    <t>MM_weight_eclampsia</t>
  </si>
  <si>
    <t>Weight of eclampsia in MMR calculation</t>
  </si>
  <si>
    <t>MM_weight_ol</t>
  </si>
  <si>
    <t>Weight of OL in MMR calculation</t>
  </si>
  <si>
    <t>MM_weight_aph</t>
  </si>
  <si>
    <t>Weight of APH in MMR calculation</t>
  </si>
  <si>
    <t>p_MM_home</t>
  </si>
  <si>
    <t>Maternal mortality rate at home</t>
  </si>
  <si>
    <t>weight_facility_mat</t>
  </si>
  <si>
    <t>Weight of facility in maternal MMR</t>
  </si>
  <si>
    <t>p_comp_severe_lowrisk</t>
  </si>
  <si>
    <t>P(severe complication given low risk)</t>
  </si>
  <si>
    <t>p_NM_home</t>
  </si>
  <si>
    <t>Neonatal mortality rate at home</t>
  </si>
  <si>
    <t>might be calibrated but might be incomplete</t>
  </si>
  <si>
    <t>weight_facility_neo</t>
  </si>
  <si>
    <t>Weight of facility in neonatal NMR</t>
  </si>
  <si>
    <t>t_l23_l45_preterm</t>
  </si>
  <si>
    <t>P(transfer L2/3 to L4/5 given preterm)</t>
  </si>
  <si>
    <t>.809 in google sheets, assuming it is an intentional units change</t>
  </si>
  <si>
    <t>t_l23_l45_notsevere</t>
  </si>
  <si>
    <t>P(transfer L2/3 to L4/5 given not severe)</t>
  </si>
  <si>
    <t>.742 in google sheets, assuming  its an intentional units change?</t>
  </si>
  <si>
    <t>t_l23_l45_severe</t>
  </si>
  <si>
    <t>P(transfer L2/3 to L4/5 given severe)</t>
  </si>
  <si>
    <t>.9 in google sheets, assuming  its an intentional units change?</t>
  </si>
  <si>
    <t>base_LB</t>
  </si>
  <si>
    <t>Monthly live births at home (23729/12)</t>
  </si>
  <si>
    <t>KHIS derived</t>
  </si>
  <si>
    <t>home</t>
  </si>
  <si>
    <t>Monthly live births at L2/3 (18196/12)</t>
  </si>
  <si>
    <t>KHIS</t>
  </si>
  <si>
    <t>L2/3</t>
  </si>
  <si>
    <t>Monthly live births at L4 (20709/12)</t>
  </si>
  <si>
    <t>L4</t>
  </si>
  <si>
    <t>Monthly live births at L5 (5126/12)</t>
  </si>
  <si>
    <t>L5</t>
  </si>
  <si>
    <t>Monthly live births at home</t>
  </si>
  <si>
    <t>Monthly live births at L2/3</t>
  </si>
  <si>
    <t>PROMPTS data: normal_deliveries</t>
  </si>
  <si>
    <t>Monthly live births at L4</t>
  </si>
  <si>
    <t>Monthly live births at L5</t>
  </si>
  <si>
    <t>S_pph_bundle</t>
  </si>
  <si>
    <t>PPH bundle supply at home</t>
  </si>
  <si>
    <t>PPH bundle supply at L2/3</t>
  </si>
  <si>
    <t>PPH bundle supply at L4</t>
  </si>
  <si>
    <t>does not appear to be based on Kakamega, should be able to use across the other counties</t>
  </si>
  <si>
    <t>PPH bundle supply at L5</t>
  </si>
  <si>
    <t>ask Tingting why all are 0 for kakamega</t>
  </si>
  <si>
    <t>L3 calc TBD</t>
  </si>
  <si>
    <t>PPH bundle supply at L3</t>
  </si>
  <si>
    <t>Asked Tingting why all are 0 for Kakamega; confirming approach</t>
  </si>
  <si>
    <t>TBD</t>
  </si>
  <si>
    <t>L3</t>
  </si>
  <si>
    <t>S_MgSO4</t>
  </si>
  <si>
    <t>MgSO4 supply at home</t>
  </si>
  <si>
    <t>Literature is not based on Kakamega, should be able to use across the other counties if needed</t>
  </si>
  <si>
    <t>MgSO4 supply at L2/3</t>
  </si>
  <si>
    <t>L2 assumed to be 0, L3 value listed below. L2/3 calculated as weighted average of the two values based on proportion of deliveries occurring at L2 vs L3.</t>
  </si>
  <si>
    <t>MOMISH Data: 2024_Makueni FQA Analysis_Jan _20240131; Proportion of birth calculations: L23_ProportionLB_20260430.xlsx</t>
  </si>
  <si>
    <t>MgSO4 supply at L4</t>
  </si>
  <si>
    <t>MgSO4 supply at L5</t>
  </si>
  <si>
    <t>MgSO4 supply at L3</t>
  </si>
  <si>
    <t>this value is from the L3 Makueni value, calculated from MOMISH data. It will be used in the system to calculate a weighed average with L2 to get an updated L2/3 value</t>
  </si>
  <si>
    <t>MOMISH Data: 2024_Makueni FQA Analysis_Jan _20240131</t>
  </si>
  <si>
    <t>Home - assumed to be 0</t>
  </si>
  <si>
    <t>N/A</t>
  </si>
  <si>
    <t>MOMISH Data: 2024_Kisii FQA Analysis_Jan _20240131; Proportion of birth calculations: L23_ProportionLB_20260430.xlsx</t>
  </si>
  <si>
    <t>L4 FQA value used</t>
  </si>
  <si>
    <t>MOMISH Data: 2024_Kisii FQA Analysis_Jan _20240131</t>
  </si>
  <si>
    <t>No Kisii L5 facilities in FQA data source, L4 value used</t>
  </si>
  <si>
    <t>this value is from the L3 Kisii value, calculated from MOMISH data. It will be used in the system to calculate a weighed average with L2 to get an updated L2/3 value. NOTE: L3 value &gt; L4 value, L3 capped at L4 value (i.e. L3 was .64 and L4 was .6)</t>
  </si>
  <si>
    <t>MOMISH Data: 2024_Makueni FQA Analysis _Jan_20240131; Proportion of birth calculations: L23_ProportionLB_20260430.xlsx</t>
  </si>
  <si>
    <t>MOMISH Data: 2024_Makueni FQA Analysis _Jan_20240131</t>
  </si>
  <si>
    <t>No Makueni L5 facilities in FQA data source, L4 value used</t>
  </si>
  <si>
    <t>this value is from the L3 Makueni value, calculated from MOMISH data. It will be used in the system to calculate a weighed average with L2 to get an updated L2/3 value.</t>
  </si>
  <si>
    <t>Asking Kunle &amp; team for data</t>
  </si>
  <si>
    <t>S_antibiotics</t>
  </si>
  <si>
    <t>Antibiotics supply at home</t>
  </si>
  <si>
    <t>Antibiotics supply at L2/3</t>
  </si>
  <si>
    <t>Antibiotics supply at L4</t>
  </si>
  <si>
    <t>Antibiotics supply at L5</t>
  </si>
  <si>
    <t>Antibiotics supply at L3</t>
  </si>
  <si>
    <t>MOMISH Data: 2024_Kisii FQA Analysis _Jan_20240131; Proportion of birth calculations: L23_ProportionLB_20260430.xlsx</t>
  </si>
  <si>
    <t>L4 FQA value used - calculated as the average availability of Metronidazole (Susp + 500mg infusion), Benzylpenicillin, Gentamicin)</t>
  </si>
  <si>
    <t>MOMISH Data: 2024_Kisii FQA Analysis _Jan_20240131</t>
  </si>
  <si>
    <t>L5 facilities in FQA data source, L4 value used</t>
  </si>
  <si>
    <t>this value is from the L3 value, calculated from MOMISH data. It will be used in the system to calculate a weighed average with L2 to get an updated L2/3 value</t>
  </si>
  <si>
    <t>S_oxytocin</t>
  </si>
  <si>
    <t>Oxytocin supply at home</t>
  </si>
  <si>
    <t>For Poppy: Orange parameters do not exist in the model. Currently, L4/5 exists and is passed to a general s_oxytocin parameter with home, l2/3 hardcoded. We want to replace the structure to have a separate parameter passed for each level similar to the other single interventions.</t>
  </si>
  <si>
    <t>Oxytocin supply at L2/3</t>
  </si>
  <si>
    <t>S_oxytocin_l45</t>
  </si>
  <si>
    <t>Oxytocin supply at L4/5</t>
  </si>
  <si>
    <t>L4/5</t>
  </si>
  <si>
    <t>Oxytocin supply at L3</t>
  </si>
  <si>
    <t>this value is from the L3 Makueni value, calculated from MOMISH data. It will be used in the system to calculate a weighed average with L2 to get an updated L2/3 value. 1</t>
  </si>
  <si>
    <t>L4 FQA value used - no L5 facilities in data source</t>
  </si>
  <si>
    <t>this value is from the L3 value, calculated from MOMISH data. It will be used in the system to calculate a weighed average with L2 to get an updated L2/3 value. NOTE: L3 value &gt; L4 value, L3 capped at L4 value (i.e. L3 was .49 and L4 was .33)</t>
  </si>
  <si>
    <t>S_preterm_treat_l45</t>
  </si>
  <si>
    <t>Preterm treatment supply at L4/5</t>
  </si>
  <si>
    <t>based on Kenyetta City hospital which appears to be in Nairobi, so should be able to use across the other counties</t>
  </si>
  <si>
    <t>Study shows # facilities (1/6) with ACS for preterm in Kisii. L4=1, L2/3 = 6, so appropriate to use this as the L2/3 value (see note to the right)</t>
  </si>
  <si>
    <t>Health facilities preparedness to deliver maternal and newborn health care in Kilifi and Kisii Counties, Kenya (2023)</t>
  </si>
  <si>
    <t>MOMISH data - FQA Pharm</t>
  </si>
  <si>
    <t>Using Kakamega for now, but also asking Kunle &amp; team for data</t>
  </si>
  <si>
    <t>S_iv_iron</t>
  </si>
  <si>
    <t>IV iron supply</t>
  </si>
  <si>
    <t>this is listed as for 4/5 only in google sheets; also this includes Kenya + other countries so it seems like it should be able to be used across the other counties</t>
  </si>
  <si>
    <t>all</t>
  </si>
  <si>
    <t>^agreed with above, using 0.44 across all</t>
  </si>
  <si>
    <t>count</t>
  </si>
  <si>
    <t>note: 'Facility Indicators'—Number of level 2,3,4,5 facilit</t>
  </si>
  <si>
    <t>Kakamega Base Costing Model provided by Jacaranda Health</t>
  </si>
  <si>
    <t>num_dopplers</t>
  </si>
  <si>
    <t>note: 'Facility Indicators'—Fetal doppler Equipment; disregard NA values; num_dopplers = count*proportion_num_dopplers</t>
  </si>
  <si>
    <t>num_CTGs</t>
  </si>
  <si>
    <t>note: '2024_Kisii FQA'—Raw_Data; disregard NA values; num_CTGs = count*proportion_num_CTGs</t>
  </si>
  <si>
    <t>num_surgical</t>
  </si>
  <si>
    <t>note: '2024_Kisii FQA'—Raw_Data; disregard blank values; num_CTGs = count*proportion_num_surgical</t>
  </si>
  <si>
    <t>num_MOs</t>
  </si>
  <si>
    <t>note: '2024_Kisii FQA'—Raw_Data; num_MOs = count*proportion_num_MOs</t>
  </si>
  <si>
    <t>num_COs</t>
  </si>
  <si>
    <t>note: '2024_Kisii FQA'—Raw_Data; num_COs = count*proportion_num_COs</t>
  </si>
  <si>
    <t>num_nurses</t>
  </si>
  <si>
    <t>note: '2024_Kisii FQA'—Raw_Data; num_nurses = count*proportion_num_nurses</t>
  </si>
  <si>
    <t>Nimako (2020), Kakamega (nursing/anesthetists)</t>
  </si>
  <si>
    <t>num_anesthetists</t>
  </si>
  <si>
    <t>note: '2024_Kisii FQA'—Raw_Data; num_anesthesiologist = count*proportion_num_anesthesiologist</t>
  </si>
  <si>
    <t>mothers_per_CHV_permonth</t>
  </si>
  <si>
    <t>CHV</t>
  </si>
  <si>
    <t>mothers reached by one CHV per month (13/12)</t>
  </si>
  <si>
    <t>constants</t>
  </si>
  <si>
    <t>RR_l45_poorQOC</t>
  </si>
  <si>
    <t>RR facility delivery if poor QOC experience</t>
  </si>
  <si>
    <t>p_CHV_soften_spread</t>
  </si>
  <si>
    <t>P(CHV softening spread of negative info)</t>
  </si>
  <si>
    <t>p_l5_l45</t>
  </si>
  <si>
    <t>P(L5 given L4/5) = 5126/(20709+5126)</t>
  </si>
  <si>
    <t>sen_comp_trad</t>
  </si>
  <si>
    <t>sensitivity traditional monitoring for complications</t>
  </si>
  <si>
    <t>Assumed it is slightly lower than the worse sensitivity of intrapartum sensors</t>
  </si>
  <si>
    <t>spec_comp_trad</t>
  </si>
  <si>
    <t>specificity traditional monitoring for complications</t>
  </si>
  <si>
    <t>Assumed it is slightly lower than the worse specificity of intrapartum sensors</t>
  </si>
  <si>
    <t>spec_ol_IS</t>
  </si>
  <si>
    <t>specificity predicting OL by IS</t>
  </si>
  <si>
    <t>Gates Foundation's internal information</t>
  </si>
  <si>
    <t>E_stillbirth_CS</t>
  </si>
  <si>
    <t>efficacy</t>
  </si>
  <si>
    <t>efficacy of timely CS in preventing stillbirth by hypoxia</t>
  </si>
  <si>
    <t>LiST Tool</t>
  </si>
  <si>
    <t>p_stillbirth_hypoxia</t>
  </si>
  <si>
    <t>mortality</t>
  </si>
  <si>
    <t>P(stillbirth given hypoxia)</t>
  </si>
  <si>
    <t>Calibrated to match intrapartum stillbirth rate</t>
  </si>
  <si>
    <t>D_asphyxia</t>
  </si>
  <si>
    <t>P(death given asphyxia)</t>
  </si>
  <si>
    <t>Adebami et al. (2015), Nigeria</t>
  </si>
  <si>
    <t>D_IVH</t>
  </si>
  <si>
    <t>P(death given IVH)</t>
  </si>
  <si>
    <t>Radic et al. (2015), Nova Scotia</t>
  </si>
  <si>
    <t>D_NEC</t>
  </si>
  <si>
    <t>P(death given NEC)</t>
  </si>
  <si>
    <t>Clark et al. (2011), USA</t>
  </si>
  <si>
    <t>D_Sepsis</t>
  </si>
  <si>
    <t>P(death given neonatal sepsis)</t>
  </si>
  <si>
    <t>Flannery et al. (2021), USA</t>
  </si>
  <si>
    <t>scale_comps</t>
  </si>
  <si>
    <t>scaling</t>
  </si>
  <si>
    <t>scaling factor for maternal complications to Kenya level</t>
  </si>
  <si>
    <t>Caculated based on the preterm rate in Kakamega's EMS records and literature value in Kenya</t>
  </si>
  <si>
    <t>t_l4_l4_severe</t>
  </si>
  <si>
    <t>transfer</t>
  </si>
  <si>
    <t>P(transfer from L4 to L4)</t>
  </si>
  <si>
    <t>Kakamega's referral data</t>
  </si>
  <si>
    <t>t_l4_l5_severe</t>
  </si>
  <si>
    <t>P(transfer from L4 to L5)</t>
  </si>
  <si>
    <t>Mother_life_expectancy</t>
  </si>
  <si>
    <t>DALY</t>
  </si>
  <si>
    <t>Kenya female life expectancy</t>
  </si>
  <si>
    <t>WHO (2025)</t>
  </si>
  <si>
    <t>years</t>
  </si>
  <si>
    <t>Neonate_life_expectancy</t>
  </si>
  <si>
    <t>Kenya life expectancy at birth</t>
  </si>
  <si>
    <t>Childbearing_age</t>
  </si>
  <si>
    <t>average childbearing age</t>
  </si>
  <si>
    <t>Statista (2025)</t>
  </si>
  <si>
    <t>density_skilled_worker_kenya</t>
  </si>
  <si>
    <t>labor</t>
  </si>
  <si>
    <t>Kenya HCW density</t>
  </si>
  <si>
    <t>Liu and Eggleston (2022)</t>
  </si>
  <si>
    <t>per 100k</t>
  </si>
  <si>
    <t>Ave_LBs_thres</t>
  </si>
  <si>
    <t>threshold for surgical staff calculation</t>
  </si>
  <si>
    <t>Stones et al. (2019)</t>
  </si>
  <si>
    <t>surgical_needed_below_thres</t>
  </si>
  <si>
    <t>surgical staff needed if below threshold</t>
  </si>
  <si>
    <t>surgical_needed_perLB_above_thres</t>
  </si>
  <si>
    <t>surgical staff needed per LB above threshold</t>
  </si>
  <si>
    <t>nurse_needed_perLB</t>
  </si>
  <si>
    <t>nurses needed per LB (1/5.4)</t>
  </si>
  <si>
    <t>anesthetist_needed_perCS</t>
  </si>
  <si>
    <t>anesthetists needed per CS</t>
  </si>
  <si>
    <t>surgical_weight</t>
  </si>
  <si>
    <t>weight in QOC calculation</t>
  </si>
  <si>
    <t>Used to ensure the density of surgical staff and nurse staff is in the same scale</t>
  </si>
  <si>
    <t>scaled_factor_density</t>
  </si>
  <si>
    <t>scaling factor for HCW density</t>
  </si>
  <si>
    <t>Used to ensure the calculated density of healthcare workers match Kenya level</t>
  </si>
  <si>
    <t>check_time_doppler</t>
  </si>
  <si>
    <t>time to check FHR with doppler</t>
  </si>
  <si>
    <t>Stat-technologies (2024)</t>
  </si>
  <si>
    <t>minutes</t>
  </si>
  <si>
    <t>check_interval_1st_stage</t>
  </si>
  <si>
    <t>FHR check interval in 1st stage</t>
  </si>
  <si>
    <t>Moldenhauer (2024)</t>
  </si>
  <si>
    <t>check_interval_2nd_stage</t>
  </si>
  <si>
    <t>FHR check interval in 2nd stage</t>
  </si>
  <si>
    <t>usage_time_sensor_perday</t>
  </si>
  <si>
    <t>sensor usage time per day (20 hours)</t>
  </si>
  <si>
    <t>Assumption</t>
  </si>
  <si>
    <t>USD_to_Ksh</t>
  </si>
  <si>
    <t>exchange</t>
  </si>
  <si>
    <t>USD to KSH exchange rate</t>
  </si>
  <si>
    <t>dispatches_per_vehicle</t>
  </si>
  <si>
    <t>transport</t>
  </si>
  <si>
    <t>dispatches per vehicle per month</t>
  </si>
  <si>
    <t>Calculated based on Kakamega Base Costing Model provided by Jacaranda Health</t>
  </si>
  <si>
    <t>per month</t>
  </si>
  <si>
    <t>pph_bundle</t>
  </si>
  <si>
    <t>treatment</t>
  </si>
  <si>
    <t>PPH bundle cost (129.25 × 1.08 × 49101/4158)</t>
  </si>
  <si>
    <t>cost_params</t>
  </si>
  <si>
    <t>KSH per case</t>
  </si>
  <si>
    <t>iv_iron</t>
  </si>
  <si>
    <t>IV iron infusion</t>
  </si>
  <si>
    <t>KSH per patient</t>
  </si>
  <si>
    <t>MgSO4</t>
  </si>
  <si>
    <t>MgSO4 treatment</t>
  </si>
  <si>
    <t>antibiotics</t>
  </si>
  <si>
    <t>Antibiotics for sepsis</t>
  </si>
  <si>
    <t>POCUS</t>
  </si>
  <si>
    <t>equipment</t>
  </si>
  <si>
    <t>Ultrasound machine (5000 × 129.5)</t>
  </si>
  <si>
    <t>KSH per unit</t>
  </si>
  <si>
    <t>Doppler</t>
  </si>
  <si>
    <t>Doppler machine</t>
  </si>
  <si>
    <t>CTG</t>
  </si>
  <si>
    <t>CTG machine</t>
  </si>
  <si>
    <t>SDR PM</t>
  </si>
  <si>
    <t>SDR</t>
  </si>
  <si>
    <t>Program management setup</t>
  </si>
  <si>
    <t>KSH fixed</t>
  </si>
  <si>
    <t>SDR PM2</t>
  </si>
  <si>
    <t>PM maintenance per year</t>
  </si>
  <si>
    <t>KSH per year</t>
  </si>
  <si>
    <t>SDR PM2 Conservative</t>
  </si>
  <si>
    <t>PM maintenance (conservative)</t>
  </si>
  <si>
    <t>SDR PM2 Moderate</t>
  </si>
  <si>
    <t>PM maintenance (moderate)</t>
  </si>
  <si>
    <t>SDR PM2 Aggressive</t>
  </si>
  <si>
    <t>PM maintenance (aggressive)</t>
  </si>
  <si>
    <t>SDR Infra</t>
  </si>
  <si>
    <t>Infrastructure per maternity bed (1031600000/457)</t>
  </si>
  <si>
    <t>KSH per bed</t>
  </si>
  <si>
    <t>SDR Equip</t>
  </si>
  <si>
    <t>Equipment costs</t>
  </si>
  <si>
    <t>SDR Taxi Setup</t>
  </si>
  <si>
    <t>Taxi setup cost</t>
  </si>
  <si>
    <t>KSH per vehicle</t>
  </si>
  <si>
    <t>SDR Taxi Monthly</t>
  </si>
  <si>
    <t>Taxi monthly maintenance</t>
  </si>
  <si>
    <t>KSH per month</t>
  </si>
  <si>
    <t>SDR Taxi Dispatch</t>
  </si>
  <si>
    <t>Taxi per dispatch cost</t>
  </si>
  <si>
    <t>KSH per dispatch</t>
  </si>
  <si>
    <t>SDR Ambulance Setup</t>
  </si>
  <si>
    <t>Ambulance setup cost</t>
  </si>
  <si>
    <t>SDR Ambulance Monthly</t>
  </si>
  <si>
    <t>Ambulance monthly maintenance</t>
  </si>
  <si>
    <t>SDR Ambulance Dispatch</t>
  </si>
  <si>
    <t>Ambulance per dispatch cost</t>
  </si>
  <si>
    <t>SDR ANC</t>
  </si>
  <si>
    <t>service</t>
  </si>
  <si>
    <t>ANC visit cost</t>
  </si>
  <si>
    <t>SDR Fac Delivery</t>
  </si>
  <si>
    <t>Normal facility delivery cost</t>
  </si>
  <si>
    <t>SDR CS Delivery</t>
  </si>
  <si>
    <t>C-section delivery cost</t>
  </si>
  <si>
    <t>SDR surgical staff</t>
  </si>
  <si>
    <t>salary</t>
  </si>
  <si>
    <t>Surgical staff monthly salary</t>
  </si>
  <si>
    <t>SDR nurse staff</t>
  </si>
  <si>
    <t>Nurse monthly salary</t>
  </si>
  <si>
    <t>SDR anesthetist</t>
  </si>
  <si>
    <t>Anesthetist monthly salary</t>
  </si>
  <si>
    <t>anemia</t>
  </si>
  <si>
    <t>Moderate anemia</t>
  </si>
  <si>
    <t>GBD 2019</t>
  </si>
  <si>
    <t>low_pph</t>
  </si>
  <si>
    <t>Mild PPH</t>
  </si>
  <si>
    <t>high_pph</t>
  </si>
  <si>
    <t>Severe PPH</t>
  </si>
  <si>
    <t>maternal_sepsis</t>
  </si>
  <si>
    <t>Maternal sepsis</t>
  </si>
  <si>
    <t>eclampsia</t>
  </si>
  <si>
    <t>Eclampsia</t>
  </si>
  <si>
    <t>obstructed_labor</t>
  </si>
  <si>
    <t>Obstructed labor</t>
  </si>
  <si>
    <t>maternal_death</t>
  </si>
  <si>
    <t>Death</t>
  </si>
  <si>
    <t>neonatal_death</t>
  </si>
  <si>
    <t>preterm_comp</t>
  </si>
  <si>
    <t>Preterm complications</t>
  </si>
  <si>
    <t>asphyxia</t>
  </si>
  <si>
    <t>Birth asphyxia</t>
  </si>
  <si>
    <t>neonatal_sepsis</t>
  </si>
  <si>
    <t>Neonatal sepsis</t>
  </si>
  <si>
    <t>home_all_target</t>
  </si>
  <si>
    <t>Proportion of all births at home</t>
  </si>
  <si>
    <t>ask tingting why transfers aren't captured in this calculation for home</t>
  </si>
  <si>
    <t>Calculated based on live births recorded in Kakamega facility data and pregnancy rate in Kakamega</t>
  </si>
  <si>
    <t>assume no transfer from home</t>
  </si>
  <si>
    <t>l23_all_target</t>
  </si>
  <si>
    <t>Proportion of all births at L2/3 (0.27 + 0.122)</t>
  </si>
  <si>
    <t>pre-transfer proportion - add .122 to get # before 2/3 were transferred</t>
  </si>
  <si>
    <t>Caculated based on post-transfer live births and % transfers to L4/5 (Derived from KHIS , don't need additional information)</t>
  </si>
  <si>
    <t>Proportion of all births at L2/3</t>
  </si>
  <si>
    <t>assume same transfer rate used for Kakamega</t>
  </si>
  <si>
    <t>l45_all_target</t>
  </si>
  <si>
    <t>Proportion of all births at L4/5 (0.38 - 0.122)</t>
  </si>
  <si>
    <t>pre-transfer proportion - subtract .122 to get # before 2/3 were transferred; Caculated based on post-transfer live births and % transfers to L4/5 (Derived from KHIS , don't need additional information)</t>
  </si>
  <si>
    <t>Proportion of all births at L4/5</t>
  </si>
  <si>
    <t>intermediate_posttransfer_home_all</t>
  </si>
  <si>
    <t>x</t>
  </si>
  <si>
    <t>Proportion of all births at home post-transfer</t>
  </si>
  <si>
    <t>POST-TRANSFER</t>
  </si>
  <si>
    <t>data from PROMPTS Users not all population</t>
  </si>
  <si>
    <t>intermediate_posttransfer_l23_all</t>
  </si>
  <si>
    <t>Proportion of all births at L2/3 (0.27 + 0.122) - post transfer</t>
  </si>
  <si>
    <t>Proportion of all births at L2/3 - post-transfer</t>
  </si>
  <si>
    <t>intermediate_posttransfer_l45_all</t>
  </si>
  <si>
    <t>Proportion of all births at L4/5 (0.38 - 0.122) - post-transfer</t>
  </si>
  <si>
    <t>Proportion of all births at L4/5 - post-transfer</t>
  </si>
  <si>
    <t>home_anc_target</t>
  </si>
  <si>
    <t>Proportion of home births with 4+ ANC</t>
  </si>
  <si>
    <t>Croke et al. (2024), Kakamega</t>
  </si>
  <si>
    <t>can pull Cis as well from MOMISH DHS.rmd</t>
  </si>
  <si>
    <t>l23_anc_target</t>
  </si>
  <si>
    <t>Proportion of L2/3 births with 4+ ANC</t>
  </si>
  <si>
    <t>calculated based on total probability theory given known live birth distribution and ANC coverage at home</t>
  </si>
  <si>
    <t>DHS 2019</t>
  </si>
  <si>
    <t>l45_anc_target</t>
  </si>
  <si>
    <t>Proportion of L4/5 births with 4+ ANC</t>
  </si>
  <si>
    <t>preterm_fac_target</t>
  </si>
  <si>
    <t>Preterm birth rate in facilities</t>
  </si>
  <si>
    <t>Additional source - Mombasa-based study, includes only &lt;28 ANC visits planning to deliver in a facility, excludes cases without ultrasound - 8.4% - seems like an underestimate, therefore sticking with Kenya/Uganda study https://link.springer.com/article/10.1186/s12884-024-06320-6</t>
  </si>
  <si>
    <t>elective_CS_target</t>
  </si>
  <si>
    <t>Proportion elective CS</t>
  </si>
  <si>
    <t>Sandie et al. (2023), sub-Saharan African countries: 40% of CS are ELCS</t>
  </si>
  <si>
    <t>Kisumu and Kiambu Study has "Decision for C/S taken before labor started" = 76/651 = 9.2%, proxy of elective delivery. Note - says cell count less than 5. Based on self-report. I think we are better off using the sub-Saharan African study.</t>
  </si>
  <si>
    <t>elective_CS_preterm_target</t>
  </si>
  <si>
    <t>Proportion elective CS among preterm</t>
  </si>
  <si>
    <t>Ghosh et al. (2022), Kenya and Uganda</t>
  </si>
  <si>
    <t>base_knowledge_L45_slider</t>
  </si>
  <si>
    <t>scalar</t>
  </si>
  <si>
    <t>default value - HCW knowledge score at L4/5</t>
  </si>
  <si>
    <t>base_p_45_slider</t>
  </si>
  <si>
    <t>default value - Baseline P(deliver at L4/5) = (20709+5126)/67760</t>
  </si>
  <si>
    <t>derived from KHIS</t>
  </si>
  <si>
    <t>p_ANC_base_slider</t>
  </si>
  <si>
    <t>default value - P(4+ ANC visits)</t>
  </si>
  <si>
    <t>S_iv_iron_slider</t>
  </si>
  <si>
    <t>default value - IV iron supply level</t>
  </si>
  <si>
    <t>not specific to kenya, can repeat for other counties (includes  Nigeria, Kenya, India, Pakistan, Bangladesh)</t>
  </si>
  <si>
    <t>t_l23_l45_notsevere_slider</t>
  </si>
  <si>
    <t>default value - Referral probability L2/3 to L4/5 (not severe)</t>
  </si>
  <si>
    <t>S_pph_bundle_slider</t>
  </si>
  <si>
    <t>[0, 0, 0, 0]</t>
  </si>
  <si>
    <t>array</t>
  </si>
  <si>
    <t>default value - PPH bundle supply [home, L2/3, L4, L5]</t>
  </si>
  <si>
    <t>not specific to kenya, can repeat for other counties (includes Kenya, Nigeria, South Africa, Tanzania)</t>
  </si>
  <si>
    <t>S_MgSO4_slider</t>
  </si>
  <si>
    <t>[0, 0, 0.77, 0.77]</t>
  </si>
  <si>
    <t>default value - MgSO4 supply [home, L2/3, L4, L5]</t>
  </si>
  <si>
    <t>not specific to kakamega, can repeat for other counties (covers 27 counties across Kenya)</t>
  </si>
  <si>
    <t>S_antibiotics_slider</t>
  </si>
  <si>
    <t>[0, 0, 0.48, 0.48]</t>
  </si>
  <si>
    <t>default value - Antibiotics supply [home, L2/3, L4, L5]</t>
  </si>
  <si>
    <t>not specific to kakamega, can repeat for other counties (it is Nairobi, Mombasa, Uasin Gishu)</t>
  </si>
  <si>
    <t>S_oxytocin_slider</t>
  </si>
  <si>
    <t>[0, 0, 0.78, 0.78]</t>
  </si>
  <si>
    <t>default value - Oxytocin supply [home, L2/3, L4, L5]</t>
  </si>
  <si>
    <t>not specific to kakamega, can repeat for other counties</t>
  </si>
  <si>
    <t>blood_tracking_slider</t>
  </si>
  <si>
    <t>default value - User input, range 0 to 0.05, represents potential reduction in deaths due to blood tracking intervention</t>
  </si>
  <si>
    <t>Kenya death audit, 421 deaths audited, 135 due to hemorrhage, 5% (n=18) of deaths were due to lack of blood</t>
  </si>
  <si>
    <t>Muchemi et al. (2016)</t>
  </si>
  <si>
    <t>p_l45_anc_slider</t>
  </si>
  <si>
    <t>P(L4/5) at 56% ANC coverage</t>
  </si>
  <si>
    <t>from tingting: p_l45_anc_slider, it is calculated from this function "ANC_LB_effect_slider". I precalculate the relationship between ANC rate and L45 rate using this function for slider use. Since for SDR, increasing ANC can increase L45 rate too.</t>
  </si>
  <si>
    <t>ask tingting</t>
  </si>
  <si>
    <t>P(L4/5) at 58% ANC coverage</t>
  </si>
  <si>
    <t>P(L4/5) at 60% ANC coverage</t>
  </si>
  <si>
    <t>P(L4/5) at 62% ANC coverage</t>
  </si>
  <si>
    <t>P(L4/5) at 64% ANC coverage</t>
  </si>
  <si>
    <t>P(L4/5) at 66% ANC coverage</t>
  </si>
  <si>
    <t>P(L4/5) at 68% ANC coverage</t>
  </si>
  <si>
    <t>P(L4/5) at 70% ANC coverage</t>
  </si>
  <si>
    <t>P(L4/5) at 72% ANC coverage</t>
  </si>
  <si>
    <t>P(L4/5) at 74% ANC coverage</t>
  </si>
  <si>
    <t>P(L4/5) at 76% ANC coverage</t>
  </si>
  <si>
    <t>P(L4/5) at 78% ANC coverage</t>
  </si>
  <si>
    <t>P(L4/5) at 80% ANC coverage</t>
  </si>
  <si>
    <t>P(L4/5) at 82% ANC coverage</t>
  </si>
  <si>
    <t>P(L4/5) at 84% ANC coverage</t>
  </si>
  <si>
    <t>P(L4/5) at 86% ANC coverage</t>
  </si>
  <si>
    <t>P(L4/5) at 88% ANC coverage</t>
  </si>
  <si>
    <t>P(L4/5) at 90% ANC coverage</t>
  </si>
  <si>
    <t>P(L4/5) at 92% ANC coverage</t>
  </si>
  <si>
    <t>P(L4/5) at 94% ANC coverage</t>
  </si>
  <si>
    <t>P(L4/5) at 96% ANC coverage</t>
  </si>
  <si>
    <t>P(L4/5) at 98% ANC coverage</t>
  </si>
  <si>
    <t>P(L4/5) at 100% ANC coverage</t>
  </si>
  <si>
    <t>DHS Flag</t>
  </si>
  <si>
    <t>DHS Value</t>
  </si>
  <si>
    <t>DHS Notes</t>
  </si>
  <si>
    <t>next steps notes</t>
  </si>
  <si>
    <t>N/A Kakamega</t>
  </si>
  <si>
    <t>Kisii, Mombasa, Makueni are not part of the 10 "high-priority" counties receiving individual county-level analysis in the briefings</t>
  </si>
  <si>
    <t>N/A already appears available</t>
  </si>
  <si>
    <t>DHS Regional groupings: Makueni is Lower Eastern, Mombasa is in Coast, Kisii is in Nyanza South</t>
  </si>
  <si>
    <t>Sheet: ANC 4+ Rate_Biannual</t>
  </si>
  <si>
    <t>Yes</t>
  </si>
  <si>
    <t>Is the listed rate for PROMPTS users only? IF so, I think this could be more accurate, and for consistency with Kakamega's source. This represents the associated region (Kisii=Nyanza South, Mombasa=Coast, Makueni=Lower Eastern).</t>
  </si>
  <si>
    <t>double check reports</t>
  </si>
  <si>
    <t>Can calculate from DHS using one or more variables: DHS Wealth Index (v190), Highest education level (v106), Years of education (v107); it seems like we should confirm how this was claculated for Kakamega and replicate the process</t>
  </si>
  <si>
    <t>use DHS-same process</t>
  </si>
  <si>
    <t>County_calibrated table - do not need</t>
  </si>
  <si>
    <t xml:space="preserve">Could derive by getting % facility vs home births from DHS; option 1 - province-level % in existing tables (easier); Option 2- calculate using region / clusters data </t>
  </si>
  <si>
    <t>MH data</t>
  </si>
  <si>
    <t>Originally coming from KHIS - available in MOMISH - seems like we should use that, confirm if the data is representative?</t>
  </si>
  <si>
    <t xml:space="preserve">It is innovative multi-component intervention by E-MOTIVE trial (Williams et al., 2024). </t>
  </si>
  <si>
    <t>For Kakamega, this was assumed to be 0 at all levels using E-MOTIVE bundle source. The. E-MOTIVE source is not specific to Kakamega, can repeat for all. Confirm if we are similarly going to assume 0 for all. If we need data, it seems like this could be approximated using the SPA (i.e. % of time uterotonics, iv fluids, blood tranfusion, manual removal of placenta are ALL available)</t>
  </si>
  <si>
    <t>Was not based on Kakamega, can repeat for other countries. Alternatively can use: SPA: mgso4_available, or antihypertensives, or protocols_for_eclampsia; MgSO4 in stock (observed)</t>
  </si>
  <si>
    <t>Was not based on Kakamega, can repeat for other countries. Alternatively can use: SPA: parenteral_antibiotics_available or injectable_antibiotics or part of BEmONC signal functions</t>
  </si>
  <si>
    <t xml:space="preserve">Yes/No </t>
  </si>
  <si>
    <t>Was not based on Kakamega, can repeat for other countries. Alternatively can use: SPA: oxytocin_available or uterotonics_available, subsetted by facility_type</t>
  </si>
  <si>
    <t>Was not based on Kakamega, (was based on Nairobi) can repeat for other counties. Alternatively can use: SPA: antenatal_corticosteroids but also newborn_resuscitation_equipment, kangaroo_mother_care, nicu, etc.</t>
  </si>
  <si>
    <t>Was not based on Kakamega, can repeat for other counties. Alternatively can use: SPA: iron_injectable_available; this is sometimes not in SPA, could also consider oral iron as a proxy</t>
  </si>
  <si>
    <t>Kakamega Base Costing Model provided by Jacaranda Health; Nimako (2020), Kakamega (nursing/anesthetists)</t>
  </si>
  <si>
    <t xml:space="preserve">MOMISH Data Inventory: Facility Indicators_20250717_v3 </t>
  </si>
  <si>
    <t>Dopplers, CTGs, Surgical, Nursing -- may be in SPA, but since available for MOMISH seems like that is better</t>
  </si>
  <si>
    <t>look at SPA - see if I find anything</t>
  </si>
  <si>
    <t/>
  </si>
  <si>
    <t>MOMISH Data Inventory: Facility Indicators_20250717_v4</t>
  </si>
  <si>
    <t>MOMISH Data Inventory: Facility Indicators_20250717_v5</t>
  </si>
  <si>
    <t>MOMISH Data Inventory: Facility Indicators_20250717_v6</t>
  </si>
  <si>
    <t>MOMISH Data Inventory: Facility Indicators_20250717_v7</t>
  </si>
  <si>
    <t>MOMISH Data Inventory: Facility Indicators_20250717_v8</t>
  </si>
  <si>
    <t>MOMISH Data Inventory: Facility Indicators_20250717_v9</t>
  </si>
  <si>
    <t>MOMISH Data Inventory: Facility Indicators_20250717_v10</t>
  </si>
  <si>
    <t>MOMISH Data Inventory: Facility Indicators_20250717_v11</t>
  </si>
  <si>
    <t>Calculated as the inverse of the regional "Health Facility Delivery" rate. Kisii=Nyanza South, Mombasa=Coast, Makueni=Lower Eastern. I think this is probably more representative than the % of PROMPTS users.</t>
  </si>
  <si>
    <t>birth recode file: m14_* (# ANC visits); m15_* (place of delivery); get county  using GPS/cluster data; or can apply provience/regional data</t>
  </si>
  <si>
    <t>KL review Croke paper to check if this is coming from there, check DHS? Just note if available as option</t>
  </si>
  <si>
    <t>from tingting: FOR preterm_fac_target, elective_CS_target, elective_CS_preterm_target, they are calibration targets, you can see all calibration criteria in google sheet: https://docs.google.com/spreadsheets/d/1_KWfykVOvnAyxL2UmktkOAQ39-pZtA4vYm6BtTr8tk0/edit?gid=1368838278#gid=1368838278</t>
  </si>
  <si>
    <t>confirm with Meibin regarding Tingting's note / what it means for what we do next; also source was not specific to Kakamega so we can use here too</t>
  </si>
  <si>
    <t>Not specific to Kakamega, use existing source</t>
  </si>
  <si>
    <t>the following table was generated from chatgpt by feeding the parameter name, description and source for just parameters we have for kakamega, in order to see if any are available in DHS</t>
  </si>
  <si>
    <t>It appears all preivously found DHS ones are available in DHS, additional values can be approximated, some of which we did not need (calibration parameters). One we can consider: home_anc_target</t>
  </si>
  <si>
    <t>kl to do - rerun for full 102 parameter table minus calibration parameters, fill in chatgpt, run comparison with notebook lm</t>
  </si>
  <si>
    <t>county_availability (Makueni, Kisii, Mombasa)</t>
  </si>
  <si>
    <t>✅ All three counties via DHS population tables</t>
  </si>
  <si>
    <t>❌ Not in DHS</t>
  </si>
  <si>
    <t>❌ No county-level DHS data</t>
  </si>
  <si>
    <t>✅ Can calculate county-level (IR)</t>
  </si>
  <si>
    <t>✅ Can calculate county-level (v190, v106)</t>
  </si>
  <si>
    <t>❌ Not in DHS; facility-level modeling required</t>
  </si>
  <si>
    <t>❌ Only available from SPA; not county-representative</t>
  </si>
  <si>
    <t>❌ Not county-specific; literature/facility data</t>
  </si>
  <si>
    <t>Parameter adjusted in 1st phase calibration</t>
  </si>
  <si>
    <t>⚠️ Proxy possible via DHS (small n)</t>
  </si>
  <si>
    <t>❌ Not in DHS; requires facility mapping</t>
  </si>
  <si>
    <t>⚠️ Approximate via DHS (home delivery &amp; risk proxy)</t>
  </si>
  <si>
    <t>Parameter adjusted in 2nd phase calibration</t>
  </si>
  <si>
    <t>⚠️ Could estimate CS by risk proxy in DHS but not elective</t>
  </si>
  <si>
    <t>Assumed values for testing effect of ultrasound - not used at this time</t>
  </si>
  <si>
    <t>⚠️ Possible proxy from DHS (v228 maternal complications), small n</t>
  </si>
  <si>
    <t>CS capacity at home / L2/3 / L4 / L5</t>
  </si>
  <si>
    <t>CS capacity SDR at home / L2/3 / L4 / L5</t>
  </si>
  <si>
    <t>CS capacity sensor at home / L2/3 / L4 / L5</t>
  </si>
  <si>
    <t>CS capacity SDR+sensor at home / L2/3 / L4 / L5</t>
  </si>
  <si>
    <t>Parameter adjusted in 3rd phase calibration</t>
  </si>
  <si>
    <t>❌ DHS sibling module incomplete at county level</t>
  </si>
  <si>
    <t>❌ Not DHS</t>
  </si>
  <si>
    <t>Might be calibrated but might be incomplete</t>
  </si>
  <si>
    <t>⚠️ Proxy possible via DHS BR, small n</t>
  </si>
  <si>
    <t>Monthly live births at home / L2/3 / L4 / L5</t>
  </si>
  <si>
    <t>❌ KHIS only, not DHS</t>
  </si>
  <si>
    <t>PPH bundle supply at home / L2/3 / L4 / L5</t>
  </si>
  <si>
    <t>E-MOTIVE trial (Williams et al., 2024)</t>
  </si>
  <si>
    <t>MgSO4 supply at home / L2/3 / L4 / L5</t>
  </si>
  <si>
    <t>Antibiotics supply at home / L2/3 / L4 / L5</t>
  </si>
  <si>
    <t>Gwako et al. (2013), Kenya</t>
  </si>
  <si>
    <t>Chhatwal &amp; Ennis (2022)</t>
  </si>
  <si>
    <t>Calculated based on live births</t>
  </si>
  <si>
    <t>⚠️ Can approximate from DHS if county births known</t>
  </si>
  <si>
    <t>Calculated based on post-transfer live births</t>
  </si>
  <si>
    <t>⚠️ Can approximate from DHS</t>
  </si>
  <si>
    <t>Calculated based on total probability theory</t>
  </si>
  <si>
    <t>Waiswa et al. (2020), Kenya</t>
  </si>
  <si>
    <t>Sandie et al. (2023), sub-Saharan Africa</t>
  </si>
  <si>
    <t>Ghosh et al. (2022), Kenya &amp; Uganda</t>
  </si>
  <si>
    <t>table of source sheets and which columns are contained in the sheet</t>
  </si>
  <si>
    <t>Table #</t>
  </si>
  <si>
    <t>Column 1</t>
  </si>
  <si>
    <t>Column 2</t>
  </si>
  <si>
    <t>Column 3</t>
  </si>
  <si>
    <t>Column 4</t>
  </si>
  <si>
    <t>Column 5</t>
  </si>
  <si>
    <t>Column 6</t>
  </si>
  <si>
    <t>Column 7</t>
  </si>
  <si>
    <t>Column 8</t>
  </si>
  <si>
    <t>Column 9</t>
  </si>
  <si>
    <t>counties</t>
  </si>
  <si>
    <t>tables of source sheets and which columns are contained in the sheet in the Power Query data structure; 1 indicates column is present</t>
  </si>
  <si>
    <t>table type</t>
  </si>
  <si>
    <t>cost_item</t>
  </si>
  <si>
    <t>currency</t>
  </si>
  <si>
    <t>condition</t>
  </si>
  <si>
    <t>mean</t>
  </si>
  <si>
    <t>enabled</t>
  </si>
  <si>
    <t>population</t>
  </si>
  <si>
    <t>region</t>
  </si>
  <si>
    <t>calibrated</t>
  </si>
  <si>
    <t>last_calibrated</t>
  </si>
  <si>
    <t>notes</t>
  </si>
  <si>
    <t>target_name</t>
  </si>
  <si>
    <t>default_value</t>
  </si>
  <si>
    <t>type</t>
  </si>
  <si>
    <t>table_name</t>
  </si>
  <si>
    <t>key</t>
  </si>
  <si>
    <t>append</t>
  </si>
  <si>
    <t>county_calibrated has been unpivoted in powerquery to be more consistent with the other sheet structures</t>
  </si>
  <si>
    <t>Sheet #</t>
  </si>
  <si>
    <t>Sheet Name</t>
  </si>
  <si>
    <t>Type</t>
  </si>
  <si>
    <t>Description</t>
  </si>
  <si>
    <t>County list and metadata</t>
  </si>
  <si>
    <t>Parameters with CIs (shared, non-efficacy)</t>
  </si>
  <si>
    <t>Intervention efficacies</t>
  </si>
  <si>
    <t>Fixed values (no CIs, shared)</t>
  </si>
  <si>
    <t>Cost dictionary items</t>
  </si>
  <si>
    <t>DALY disability weights</t>
  </si>
  <si>
    <t>Shared array parameters</t>
  </si>
  <si>
    <t>County-varying demographics with CIs</t>
  </si>
  <si>
    <t>Facility counts, staff, equipment</t>
  </si>
  <si>
    <t>Calibrated parameters by county</t>
  </si>
  <si>
    <t>Supply levels and live births</t>
  </si>
  <si>
    <t>Calibration targets</t>
  </si>
  <si>
    <t>Streamlit slider defaults</t>
  </si>
  <si>
    <t>2D lookup tables</t>
  </si>
  <si>
    <t>KSH</t>
  </si>
  <si>
    <t>per case</t>
  </si>
  <si>
    <t>per patient</t>
  </si>
  <si>
    <t>per unit</t>
  </si>
  <si>
    <t>per year</t>
  </si>
  <si>
    <t>per bed</t>
  </si>
  <si>
    <t>per vehicle</t>
  </si>
  <si>
    <t>per dispatch</t>
  </si>
  <si>
    <t>Western</t>
  </si>
  <si>
    <t>Pilot county</t>
  </si>
  <si>
    <t>Nyanza</t>
  </si>
  <si>
    <t>Eastern</t>
  </si>
  <si>
    <t>Coast</t>
  </si>
  <si>
    <t>[Kelly]</t>
  </si>
  <si>
    <t>Meibin</t>
  </si>
  <si>
    <t>Note - "metric" indicates facility level specific but I don't see this data. For now used the same value of all LOCs. See if we can obtain this data.</t>
  </si>
  <si>
    <r>
      <rPr>
        <b/>
        <sz val="10.5"/>
        <color rgb="FF424242"/>
        <rFont val="Arial"/>
        <family val="2"/>
      </rPr>
      <t>note</t>
    </r>
    <r>
      <rPr>
        <sz val="10.5"/>
        <color rgb="FF424242"/>
        <rFont val="Arial"/>
        <family val="2"/>
      </rPr>
      <t>: 'Facility Indicators'—Number of level 2,3,4,5 facilit</t>
    </r>
  </si>
  <si>
    <t>note - requesting missing Mombasa data from the team</t>
  </si>
  <si>
    <r>
      <rPr>
        <b/>
        <sz val="10.5"/>
        <color rgb="FF424242"/>
        <rFont val="Arial"/>
        <family val="2"/>
      </rPr>
      <t>note</t>
    </r>
    <r>
      <rPr>
        <sz val="10.5"/>
        <color rgb="FF424242"/>
        <rFont val="Arial"/>
        <family val="2"/>
      </rPr>
      <t>: 'Facility Indicators'—Fetal doppler Equipment; disregard NA values; num_dopplers = count*proportion_num_dopplers</t>
    </r>
  </si>
  <si>
    <r>
      <rPr>
        <b/>
        <sz val="10.5"/>
        <color rgb="FF424242"/>
        <rFont val="Arial"/>
        <family val="2"/>
      </rPr>
      <t>note</t>
    </r>
    <r>
      <rPr>
        <sz val="10.5"/>
        <color rgb="FF424242"/>
        <rFont val="Arial"/>
        <family val="2"/>
      </rPr>
      <t>: '2024_Kisii FQA'—Raw_Data; disregard NA values; num_CTGs = count*proportion_num_CTGs</t>
    </r>
  </si>
  <si>
    <r>
      <rPr>
        <b/>
        <sz val="10.5"/>
        <color rgb="FF424242"/>
        <rFont val="Arial"/>
        <family val="2"/>
      </rPr>
      <t>note</t>
    </r>
    <r>
      <rPr>
        <sz val="10.5"/>
        <color rgb="FF424242"/>
        <rFont val="Arial"/>
        <family val="2"/>
      </rPr>
      <t>: '2024_Kisii FQA'—Raw_Data; disregard blank values; num_CTGs = count*proportion_num_surgical</t>
    </r>
  </si>
  <si>
    <r>
      <rPr>
        <b/>
        <sz val="11"/>
        <color rgb="FF242424"/>
        <rFont val="Aptos Narrow"/>
      </rPr>
      <t>note</t>
    </r>
    <r>
      <rPr>
        <sz val="11"/>
        <color rgb="FF242424"/>
        <rFont val="Aptos Narrow"/>
      </rPr>
      <t>: '2024_Kisii FQA'—Raw_Data; num_MOs = count*proportion_num_MOs</t>
    </r>
  </si>
  <si>
    <r>
      <rPr>
        <b/>
        <sz val="11"/>
        <color rgb="FF242424"/>
        <rFont val="Aptos Narrow"/>
      </rPr>
      <t>note</t>
    </r>
    <r>
      <rPr>
        <sz val="11"/>
        <color rgb="FF242424"/>
        <rFont val="Aptos Narrow"/>
      </rPr>
      <t>: '2024_Kisii FQA'—Raw_Data; num_COs = count*proportion_num_COs</t>
    </r>
  </si>
  <si>
    <r>
      <rPr>
        <b/>
        <sz val="11"/>
        <color rgb="FF242424"/>
        <rFont val="Aptos Narrow"/>
      </rPr>
      <t>note</t>
    </r>
    <r>
      <rPr>
        <sz val="11"/>
        <color rgb="FF242424"/>
        <rFont val="Aptos Narrow"/>
      </rPr>
      <t>: '2024_Kisii FQA'—Raw_Data; num_nurses = count*proportion_num_nurses</t>
    </r>
  </si>
  <si>
    <r>
      <rPr>
        <b/>
        <sz val="11"/>
        <color rgb="FF242424"/>
        <rFont val="Aptos Narrow"/>
      </rPr>
      <t>note</t>
    </r>
    <r>
      <rPr>
        <sz val="11"/>
        <color rgb="FF242424"/>
        <rFont val="Aptos Narrow"/>
      </rPr>
      <t>: '2024_Kisii FQA'—Raw_Data; num_anesthesiologist = count*proportion_num_anesthesiologist</t>
    </r>
  </si>
  <si>
    <t>Meibin searching for data, otherwise use the same lit value as Kakamega</t>
  </si>
  <si>
    <t>run through ex calculation with meibin; I don't think I got the same value she did</t>
  </si>
  <si>
    <t>KELLY HOLD OFF UNTIL MEIBIN CHECKS FQA</t>
  </si>
  <si>
    <t>are these all or nothing? Ie would we want to use .35 for everything but kisii since we have kisii values or is it better to only vary the values if we have something for all counties? OK IF ITS NOT CONSISTENT</t>
  </si>
  <si>
    <t>use it as 2/3 and use nariobi as 4/5</t>
  </si>
  <si>
    <t>double check in code L2/3 is probably because set as 0 for everything else; make sure I tis structurally okay in the code</t>
  </si>
  <si>
    <t>Kelly - double check if we want to use the same one vs if something available for the specific counties</t>
  </si>
  <si>
    <t>see note</t>
  </si>
  <si>
    <t>Baseline P(deliver at L4/5) = (20709+5126)/67760</t>
  </si>
  <si>
    <t>IV iron supply level</t>
  </si>
  <si>
    <t>Referral probability L2/3 to L4/5 (not severe)</t>
  </si>
  <si>
    <t>PPH bundle supply [home, L2/3, L4, L5]</t>
  </si>
  <si>
    <t>MgSO4 supply [home, L2/3, L4, L5]</t>
  </si>
  <si>
    <t>Antibiotics supply [home, L2/3, L4, L5]</t>
  </si>
  <si>
    <t>Oxytocin supply [home, L2/3, L4, L5]</t>
  </si>
  <si>
    <t>User input, range 0 to 0.05, represents potential reduction in deaths due to blood tracking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</si>
</sst>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7">
    <font>
      <sz val="12"/>
      <color theme="1"/>
      <name val="Aptos Narrow"/>
      <family val="2"/>
      <scheme val="minor"/>
    </font>
    <font>
      <sz val="10.5"/>
      <color rgb="FF111827"/>
      <name val="Arial"/>
      <family val="2"/>
    </font>
    <font>
      <sz val="10.5"/>
      <color rgb="FF424242"/>
      <name val="Arial"/>
      <family val="2"/>
    </font>
    <font>
      <sz val="10.5"/>
      <color theme="1"/>
      <name val="Arial"/>
      <family val="2"/>
    </font>
    <font>
      <sz val="10.5"/>
      <color theme="4"/>
      <name val="Arial"/>
      <family val="2"/>
    </font>
    <font>
      <sz val="12"/>
      <color theme="4"/>
      <name val="Aptos Narrow"/>
      <family val="2"/>
      <scheme val="minor"/>
    </font>
    <font>
      <sz val="10.5"/>
      <color theme="0"/>
      <name val="Arial"/>
      <family val="2"/>
    </font>
    <font>
      <sz val="8"/>
      <name val="Aptos Narrow"/>
      <family val="2"/>
      <scheme val="minor"/>
    </font>
    <font>
      <sz val="12"/>
      <color theme="7"/>
      <name val="Aptos Narrow"/>
      <family val="2"/>
      <scheme val="minor"/>
    </font>
    <font>
      <sz val="10.5"/>
      <color theme="7"/>
      <name val="Arial"/>
      <family val="2"/>
    </font>
    <font>
      <sz val="12"/>
      <name val="Aptos Narrow"/>
      <family val="2"/>
      <scheme val="minor"/>
    </font>
    <font>
      <i/>
      <sz val="12"/>
      <color theme="1"/>
      <name val="Aptos Narrow"/>
      <scheme val="minor"/>
    </font>
    <font>
      <i/>
      <sz val="12"/>
      <color theme="7"/>
      <name val="Aptos Narrow"/>
      <scheme val="minor"/>
    </font>
    <font>
      <b/>
      <sz val="12"/>
      <color theme="1"/>
      <name val="Aptos Narrow"/>
      <scheme val="minor"/>
    </font>
    <font>
      <b/>
      <i/>
      <sz val="12"/>
      <color theme="7"/>
      <name val="Aptos Narrow"/>
      <scheme val="minor"/>
    </font>
    <font>
      <u/>
      <sz val="10"/>
      <color theme="1"/>
      <name val="Arial"/>
      <family val="2"/>
    </font>
    <font>
      <u/>
      <sz val="12"/>
      <color theme="10"/>
      <name val="Aptos Narrow"/>
      <family val="2"/>
      <scheme val="minor"/>
    </font>
    <font>
      <sz val="10"/>
      <color theme="1"/>
      <name val="Arial"/>
      <family val="2"/>
    </font>
    <font>
      <b/>
      <sz val="12"/>
      <color theme="1"/>
      <name val="Aptos Narrow"/>
      <family val="2"/>
      <scheme val="minor"/>
    </font>
    <font>
      <sz val="10.5"/>
      <name val="Arial"/>
      <family val="2"/>
    </font>
    <font>
      <b/>
      <sz val="10.5"/>
      <color rgb="FF424242"/>
      <name val="Arial"/>
      <family val="2"/>
    </font>
    <font>
      <b/>
      <sz val="10.5"/>
      <color rgb="FF111827"/>
      <name val="Arial"/>
      <family val="2"/>
    </font>
    <font>
      <sz val="11"/>
      <color rgb="FF242424"/>
      <name val="Aptos Narrow"/>
    </font>
    <font>
      <b/>
      <sz val="11"/>
      <color rgb="FF242424"/>
      <name val="Aptos Narrow"/>
    </font>
    <font>
      <sz val="12"/>
      <color theme="2" tint="-0.749992370372631"/>
      <name val="Aptos Narrow"/>
      <family val="2"/>
      <scheme val="minor"/>
    </font>
    <font>
      <sz val="11"/>
      <color rgb="FF242424"/>
      <name val="Aptos Narrow"/>
      <family val="2"/>
    </font>
    <font>
      <b/>
      <sz val="12"/>
      <color rgb="FFFF0000"/>
      <name val="Aptos Narrow"/>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5"/>
        <bgColor indexed="64"/>
      </patternFill>
    </fill>
    <fill>
      <patternFill patternType="solid">
        <fgColor theme="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C000"/>
        <bgColor indexed="64"/>
      </patternFill>
    </fill>
  </fills>
  <borders count="17">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top style="thin">
        <color theme="0" tint="-0.499984740745262"/>
      </top>
      <bottom style="thin">
        <color theme="0" tint="-0.499984740745262"/>
      </bottom>
      <diagonal/>
    </border>
    <border>
      <left style="thin">
        <color indexed="64"/>
      </left>
      <right style="thin">
        <color indexed="64"/>
      </right>
      <top/>
      <bottom style="thin">
        <color indexed="64"/>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style="thin">
        <color theme="0" tint="-0.499984740745262"/>
      </top>
      <bottom style="medium">
        <color theme="4"/>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style="medium">
        <color theme="4"/>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medium">
        <color theme="4"/>
      </bottom>
      <diagonal/>
    </border>
  </borders>
  <cellStyleXfs count="2">
    <xf numFmtId="0" fontId="0" fillId="0" borderId="0"/>
    <xf numFmtId="0" fontId="16" fillId="0" borderId="0" applyNumberFormat="0" applyFill="0" applyBorder="0" applyAlignment="0" applyProtection="0"/>
  </cellStyleXfs>
  <cellXfs count="111">
    <xf numFmtId="0" fontId="0" fillId="0" borderId="0" xfId="0"/>
    <xf numFmtId="0" fontId="1" fillId="0" borderId="0" xfId="0" applyFont="1"/>
    <xf numFmtId="0" fontId="2" fillId="0" borderId="0" xfId="0" applyFont="1"/>
    <xf numFmtId="14" fontId="2" fillId="0" borderId="0" xfId="0" applyNumberFormat="1" applyFont="1"/>
    <xf numFmtId="0" fontId="3" fillId="0" borderId="0" xfId="0" applyFont="1"/>
    <xf numFmtId="0" fontId="4" fillId="0" borderId="0" xfId="0" applyFont="1"/>
    <xf numFmtId="0" fontId="5" fillId="0" borderId="0" xfId="0" applyFont="1"/>
    <xf numFmtId="0" fontId="2" fillId="3" borderId="0" xfId="0" applyFont="1" applyFill="1"/>
    <xf numFmtId="0" fontId="6" fillId="4" borderId="0" xfId="0" applyFont="1" applyFill="1"/>
    <xf numFmtId="0" fontId="2" fillId="3" borderId="1" xfId="0" applyFont="1" applyFill="1" applyBorder="1"/>
    <xf numFmtId="0" fontId="6" fillId="4" borderId="1" xfId="0" applyFont="1" applyFill="1" applyBorder="1"/>
    <xf numFmtId="0" fontId="8" fillId="0" borderId="0" xfId="0" applyFont="1"/>
    <xf numFmtId="0" fontId="9" fillId="3" borderId="1" xfId="0" applyFont="1" applyFill="1" applyBorder="1"/>
    <xf numFmtId="0" fontId="10" fillId="0" borderId="0" xfId="0" applyFont="1"/>
    <xf numFmtId="0" fontId="11" fillId="0" borderId="0" xfId="0" applyFont="1"/>
    <xf numFmtId="0" fontId="12" fillId="0" borderId="0" xfId="0" applyFont="1"/>
    <xf numFmtId="22" fontId="0" fillId="0" borderId="0" xfId="0" applyNumberFormat="1"/>
    <xf numFmtId="22" fontId="11" fillId="0" borderId="0" xfId="0" applyNumberFormat="1" applyFont="1"/>
    <xf numFmtId="0" fontId="11" fillId="2" borderId="2" xfId="0" applyFont="1" applyFill="1" applyBorder="1"/>
    <xf numFmtId="0" fontId="0" fillId="2" borderId="3" xfId="0" applyFill="1" applyBorder="1"/>
    <xf numFmtId="22" fontId="11" fillId="2" borderId="4" xfId="0" applyNumberFormat="1" applyFont="1" applyFill="1" applyBorder="1"/>
    <xf numFmtId="0" fontId="13" fillId="0" borderId="0" xfId="0" applyFont="1"/>
    <xf numFmtId="0" fontId="14" fillId="0" borderId="0" xfId="0" applyFont="1"/>
    <xf numFmtId="0" fontId="0" fillId="0" borderId="0" xfId="0" applyAlignment="1">
      <alignment horizontal="left" indent="3"/>
    </xf>
    <xf numFmtId="0" fontId="15" fillId="0" borderId="0" xfId="0" applyFont="1"/>
    <xf numFmtId="0" fontId="16" fillId="0" borderId="0" xfId="1"/>
    <xf numFmtId="0" fontId="2" fillId="5" borderId="0" xfId="0" applyFont="1" applyFill="1"/>
    <xf numFmtId="0" fontId="17" fillId="0" borderId="0" xfId="0" applyFont="1"/>
    <xf numFmtId="0" fontId="0" fillId="5" borderId="0" xfId="0" applyFill="1"/>
    <xf numFmtId="0" fontId="0" fillId="0" borderId="0" xfId="0" applyAlignment="1">
      <alignment wrapText="1"/>
    </xf>
    <xf numFmtId="0" fontId="16" fillId="0" borderId="0" xfId="1" applyAlignment="1">
      <alignment wrapText="1"/>
    </xf>
    <xf numFmtId="0" fontId="0" fillId="6" borderId="0" xfId="0" applyFill="1"/>
    <xf numFmtId="0" fontId="17" fillId="0" borderId="0" xfId="0" applyFont="1" applyAlignment="1">
      <alignment wrapText="1"/>
    </xf>
    <xf numFmtId="0" fontId="0" fillId="5" borderId="0" xfId="0" applyFill="1" applyAlignment="1">
      <alignment wrapText="1"/>
    </xf>
    <xf numFmtId="0" fontId="0" fillId="7" borderId="0" xfId="0" applyFill="1"/>
    <xf numFmtId="0" fontId="10" fillId="5" borderId="0" xfId="0" applyFont="1" applyFill="1" applyAlignment="1">
      <alignment wrapText="1"/>
    </xf>
    <xf numFmtId="0" fontId="4" fillId="5" borderId="0" xfId="0" applyFont="1" applyFill="1"/>
    <xf numFmtId="0" fontId="1" fillId="0" borderId="0" xfId="0" applyFont="1" applyAlignment="1">
      <alignment wrapText="1"/>
    </xf>
    <xf numFmtId="0" fontId="15"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13" fillId="0" borderId="0" xfId="0" applyFont="1" applyAlignment="1">
      <alignment horizontal="left"/>
    </xf>
    <xf numFmtId="0" fontId="0" fillId="0" borderId="0" xfId="0" applyAlignment="1">
      <alignment horizontal="left" indent="2"/>
    </xf>
    <xf numFmtId="0" fontId="3" fillId="0" borderId="0" xfId="0" applyFont="1" applyAlignment="1">
      <alignment wrapText="1"/>
    </xf>
    <xf numFmtId="0" fontId="0" fillId="0" borderId="0" xfId="0" pivotButton="1"/>
    <xf numFmtId="0" fontId="0" fillId="0" borderId="0" xfId="0" applyAlignment="1">
      <alignment horizontal="left"/>
    </xf>
    <xf numFmtId="0" fontId="4" fillId="5" borderId="0" xfId="0" applyFont="1" applyFill="1" applyAlignment="1">
      <alignment wrapText="1"/>
    </xf>
    <xf numFmtId="0" fontId="0" fillId="0" borderId="0" xfId="0" applyAlignment="1">
      <alignment horizontal="left" indent="1"/>
    </xf>
    <xf numFmtId="0" fontId="4" fillId="0" borderId="0" xfId="1" applyFont="1" applyAlignment="1">
      <alignment wrapText="1"/>
    </xf>
    <xf numFmtId="0" fontId="0" fillId="8" borderId="0" xfId="0" applyFill="1"/>
    <xf numFmtId="0" fontId="0" fillId="9" borderId="0" xfId="0" applyFill="1" applyAlignment="1">
      <alignment wrapText="1"/>
    </xf>
    <xf numFmtId="0" fontId="0" fillId="0" borderId="5" xfId="0" applyBorder="1"/>
    <xf numFmtId="0" fontId="0" fillId="0" borderId="6" xfId="0" applyBorder="1"/>
    <xf numFmtId="0" fontId="0" fillId="7" borderId="7" xfId="0" applyFill="1" applyBorder="1"/>
    <xf numFmtId="0" fontId="0" fillId="7" borderId="9" xfId="0" applyFill="1" applyBorder="1"/>
    <xf numFmtId="0" fontId="0" fillId="0" borderId="4" xfId="0" applyBorder="1"/>
    <xf numFmtId="0" fontId="0" fillId="0" borderId="2" xfId="0" applyBorder="1"/>
    <xf numFmtId="0" fontId="13" fillId="0" borderId="6" xfId="0" applyFont="1" applyBorder="1" applyAlignment="1">
      <alignment wrapText="1"/>
    </xf>
    <xf numFmtId="0" fontId="13" fillId="0" borderId="8" xfId="0" applyFont="1" applyBorder="1"/>
    <xf numFmtId="0" fontId="13" fillId="0" borderId="5" xfId="0" applyFont="1" applyBorder="1"/>
    <xf numFmtId="0" fontId="19" fillId="0" borderId="0" xfId="0" applyFont="1"/>
    <xf numFmtId="0" fontId="18" fillId="0" borderId="0" xfId="0" applyFont="1"/>
    <xf numFmtId="0" fontId="18" fillId="0" borderId="0" xfId="0" applyFont="1" applyAlignment="1">
      <alignment wrapText="1"/>
    </xf>
    <xf numFmtId="0" fontId="0" fillId="10" borderId="0" xfId="0" applyFill="1"/>
    <xf numFmtId="0" fontId="0" fillId="0" borderId="1" xfId="0" applyBorder="1"/>
    <xf numFmtId="0" fontId="18" fillId="2" borderId="10" xfId="0" applyFont="1" applyFill="1" applyBorder="1"/>
    <xf numFmtId="0" fontId="18" fillId="2" borderId="10" xfId="0" applyFont="1" applyFill="1" applyBorder="1" applyAlignment="1">
      <alignment wrapText="1"/>
    </xf>
    <xf numFmtId="0" fontId="0" fillId="0" borderId="1" xfId="0" applyBorder="1" applyAlignment="1">
      <alignment wrapText="1"/>
    </xf>
    <xf numFmtId="0" fontId="18" fillId="2" borderId="11" xfId="0" applyFont="1" applyFill="1" applyBorder="1"/>
    <xf numFmtId="0" fontId="18" fillId="2" borderId="12" xfId="0" applyFont="1" applyFill="1" applyBorder="1"/>
    <xf numFmtId="0" fontId="0" fillId="0" borderId="13" xfId="0" applyBorder="1"/>
    <xf numFmtId="0" fontId="0" fillId="0" borderId="14" xfId="0" applyBorder="1"/>
    <xf numFmtId="0" fontId="0" fillId="0" borderId="15" xfId="0" applyBorder="1"/>
    <xf numFmtId="0" fontId="18" fillId="11" borderId="11" xfId="0" applyFont="1" applyFill="1" applyBorder="1"/>
    <xf numFmtId="0" fontId="0" fillId="0" borderId="14" xfId="0" applyBorder="1" applyAlignment="1">
      <alignment wrapText="1"/>
    </xf>
    <xf numFmtId="0" fontId="0" fillId="5" borderId="1" xfId="0" applyFill="1" applyBorder="1" applyAlignment="1">
      <alignment wrapText="1"/>
    </xf>
    <xf numFmtId="0" fontId="0" fillId="5" borderId="14" xfId="0" applyFill="1" applyBorder="1"/>
    <xf numFmtId="0" fontId="0" fillId="5" borderId="1" xfId="0" applyFill="1" applyBorder="1"/>
    <xf numFmtId="0" fontId="4" fillId="0" borderId="1" xfId="0" applyFont="1" applyBorder="1"/>
    <xf numFmtId="0" fontId="2" fillId="0" borderId="1" xfId="0" applyFont="1" applyBorder="1"/>
    <xf numFmtId="0" fontId="2" fillId="0" borderId="1" xfId="0" applyFont="1" applyBorder="1" applyAlignment="1">
      <alignment wrapText="1"/>
    </xf>
    <xf numFmtId="0" fontId="21" fillId="2" borderId="10" xfId="0" applyFont="1" applyFill="1" applyBorder="1"/>
    <xf numFmtId="1" fontId="2" fillId="0" borderId="1" xfId="0" applyNumberFormat="1" applyFont="1" applyBorder="1"/>
    <xf numFmtId="0" fontId="25" fillId="0" borderId="1" xfId="0" applyFont="1" applyBorder="1" applyAlignment="1">
      <alignment wrapText="1"/>
    </xf>
    <xf numFmtId="0" fontId="21" fillId="2" borderId="12" xfId="0" applyFont="1" applyFill="1" applyBorder="1"/>
    <xf numFmtId="0" fontId="4" fillId="0" borderId="13" xfId="0" applyFont="1" applyBorder="1"/>
    <xf numFmtId="0" fontId="2" fillId="0" borderId="13" xfId="0" applyFont="1" applyBorder="1"/>
    <xf numFmtId="0" fontId="21" fillId="2" borderId="16" xfId="0" applyFont="1" applyFill="1" applyBorder="1" applyAlignment="1">
      <alignment wrapText="1"/>
    </xf>
    <xf numFmtId="0" fontId="16" fillId="0" borderId="7" xfId="1" applyBorder="1" applyAlignment="1">
      <alignment wrapText="1"/>
    </xf>
    <xf numFmtId="0" fontId="24" fillId="0" borderId="7" xfId="1" applyFont="1" applyBorder="1" applyAlignment="1">
      <alignment wrapText="1"/>
    </xf>
    <xf numFmtId="0" fontId="4" fillId="10" borderId="0" xfId="0" applyFont="1" applyFill="1"/>
    <xf numFmtId="0" fontId="2" fillId="10" borderId="0" xfId="0" applyFont="1" applyFill="1"/>
    <xf numFmtId="0" fontId="5" fillId="10" borderId="0" xfId="0" applyFont="1" applyFill="1"/>
    <xf numFmtId="0" fontId="0" fillId="10" borderId="0" xfId="0" applyFill="1" applyAlignment="1">
      <alignment wrapText="1"/>
    </xf>
    <xf numFmtId="0" fontId="16" fillId="10" borderId="0" xfId="1" applyFill="1"/>
    <xf numFmtId="2" fontId="2" fillId="10" borderId="0" xfId="0" applyNumberFormat="1" applyFont="1" applyFill="1"/>
    <xf numFmtId="0" fontId="0" fillId="9" borderId="0" xfId="0" applyFill="1"/>
    <xf numFmtId="0" fontId="0" fillId="12" borderId="0" xfId="0" applyFill="1"/>
    <xf numFmtId="0" fontId="26" fillId="0" borderId="0" xfId="0" applyFont="1"/>
    <xf numFmtId="164" fontId="2" fillId="0" borderId="0" xfId="0" applyNumberFormat="1" applyFont="1"/>
    <xf numFmtId="0" fontId="16" fillId="10" borderId="0" xfId="1" applyFill="1" applyAlignment="1">
      <alignment wrapText="1"/>
    </xf>
    <xf numFmtId="0" fontId="10" fillId="0" borderId="0" xfId="1" applyFont="1" applyAlignment="1">
      <alignment wrapText="1"/>
    </xf>
    <xf numFmtId="0" fontId="10" fillId="0" borderId="0" xfId="1" applyFont="1"/>
    <xf numFmtId="0" fontId="10" fillId="0" borderId="0" xfId="1" applyFont="1" applyFill="1" applyAlignment="1">
      <alignment wrapText="1"/>
    </xf>
    <xf numFmtId="0" fontId="10" fillId="10" borderId="0" xfId="1" applyFont="1" applyFill="1"/>
    <xf numFmtId="0" fontId="10" fillId="10" borderId="0" xfId="1" applyFont="1" applyFill="1" applyAlignment="1">
      <alignment wrapText="1"/>
    </xf>
    <xf numFmtId="0" fontId="4" fillId="13" borderId="0" xfId="0" applyFont="1" applyFill="1"/>
    <xf numFmtId="0" fontId="18" fillId="13" borderId="0" xfId="0" applyFont="1" applyFill="1" applyAlignment="1">
      <alignment wrapText="1"/>
    </xf>
    <xf numFmtId="0" fontId="2" fillId="13" borderId="0" xfId="0" applyFont="1" applyFill="1"/>
    <xf numFmtId="0" fontId="18" fillId="10" borderId="0" xfId="0" applyFont="1" applyFill="1"/>
    <xf numFmtId="0" fontId="16" fillId="0" borderId="0" xfId="1" applyNumberFormat="1" applyAlignment="1">
      <alignment wrapText="1"/>
    </xf>
  </cellXfs>
  <cellStyles count="2">
    <cellStyle name="Hyperlink" xfId="1" builtinId="8"/>
    <cellStyle name="Normal" xfId="0" builtinId="0"/>
  </cellStyles>
  <dxfs count="174">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rgb="FF424242"/>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color rgb="FF9C0006"/>
      </font>
      <fill>
        <patternFill>
          <bgColor rgb="FFFFC7CE"/>
        </patternFill>
      </fill>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color rgb="FF9C0006"/>
      </font>
      <fill>
        <patternFill>
          <bgColor rgb="FFFFC7CE"/>
        </patternFill>
      </fill>
    </dxf>
    <dxf>
      <font>
        <b val="0"/>
        <i val="0"/>
        <strike val="0"/>
        <condense val="0"/>
        <extend val="0"/>
        <outline val="0"/>
        <shadow val="0"/>
        <u val="none"/>
        <vertAlign val="baseline"/>
        <sz val="12"/>
        <color theme="2" tint="-0.749992370372631"/>
        <name val="Aptos Narrow"/>
        <family val="2"/>
        <scheme val="minor"/>
      </font>
      <alignment horizontal="general" vertical="bottom" textRotation="0" wrapText="1" indent="0" justifyLastLine="0" shrinkToFit="0" readingOrder="0"/>
      <border diagonalUp="0" diagonalDown="0" outline="0">
        <left style="thin">
          <color theme="0" tint="-0.499984740745262"/>
        </left>
        <right/>
        <top style="thin">
          <color theme="0" tint="-0.499984740745262"/>
        </top>
        <bottom style="thin">
          <color theme="0" tint="-0.499984740745262"/>
        </bottom>
      </border>
    </dxf>
    <dxf>
      <font>
        <b val="0"/>
        <i val="0"/>
        <strike val="0"/>
        <condense val="0"/>
        <extend val="0"/>
        <outline val="0"/>
        <shadow val="0"/>
        <u val="none"/>
        <vertAlign val="baseline"/>
        <sz val="11"/>
        <color rgb="FF242424"/>
        <name val="Aptos Narrow"/>
        <family val="2"/>
        <scheme val="none"/>
      </font>
      <alignment horizontal="general"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0.5"/>
        <color rgb="FF424242"/>
        <name val="Arial"/>
        <family val="2"/>
        <scheme val="none"/>
      </font>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0.5"/>
        <color rgb="FF424242"/>
        <name val="Arial"/>
        <family val="2"/>
        <scheme val="none"/>
      </font>
      <border diagonalUp="0" diagonalDown="0">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10.5"/>
        <color rgb="FF424242"/>
        <name val="Arial"/>
        <family val="2"/>
        <scheme val="none"/>
      </font>
      <border diagonalUp="0" diagonalDown="0">
        <left/>
        <right style="thin">
          <color theme="0" tint="-0.499984740745262"/>
        </right>
        <top style="thin">
          <color theme="0" tint="-0.499984740745262"/>
        </top>
        <bottom style="thin">
          <color theme="0" tint="-0.499984740745262"/>
        </bottom>
        <vertical/>
        <horizontal/>
      </border>
    </dxf>
    <dxf>
      <border outline="0">
        <left style="thin">
          <color theme="0" tint="-0.499984740745262"/>
        </left>
        <right style="thin">
          <color theme="0" tint="-0.499984740745262"/>
        </right>
      </border>
    </dxf>
    <dxf>
      <font>
        <color rgb="FF9C0006"/>
      </font>
      <fill>
        <patternFill>
          <bgColor rgb="FFFFC7CE"/>
        </patternFill>
      </fill>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color rgb="FF9C0006"/>
      </font>
      <fill>
        <patternFill>
          <bgColor rgb="FFFFC7CE"/>
        </patternFill>
      </fill>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2"/>
        <color theme="4"/>
        <name val="Aptos Narrow"/>
        <family val="2"/>
        <scheme val="minor"/>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rgb="FF111827"/>
        <name val="Arial"/>
        <family val="2"/>
        <scheme val="none"/>
      </font>
    </dxf>
    <dxf>
      <font>
        <b val="0"/>
        <i val="0"/>
        <strike val="0"/>
        <condense val="0"/>
        <extend val="0"/>
        <outline val="0"/>
        <shadow val="0"/>
        <u val="none"/>
        <vertAlign val="baseline"/>
        <sz val="10.5"/>
        <color theme="4"/>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4"/>
        <name val="Arial"/>
        <family val="2"/>
        <scheme val="none"/>
      </font>
    </dxf>
    <dxf>
      <font>
        <b val="0"/>
        <i val="0"/>
        <strike val="0"/>
        <condense val="0"/>
        <extend val="0"/>
        <outline val="0"/>
        <shadow val="0"/>
        <u val="none"/>
        <vertAlign val="baseline"/>
        <sz val="10.5"/>
        <color theme="1"/>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424242"/>
        <name val="Arial"/>
        <family val="2"/>
        <scheme val="none"/>
      </font>
    </dxf>
    <dxf>
      <font>
        <b val="0"/>
        <i val="0"/>
        <strike val="0"/>
        <condense val="0"/>
        <extend val="0"/>
        <outline val="0"/>
        <shadow val="0"/>
        <u val="none"/>
        <vertAlign val="baseline"/>
        <sz val="10.5"/>
        <color rgb="FF111827"/>
        <name val="Arial"/>
        <family val="2"/>
        <scheme val="none"/>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theme="1"/>
        <name val="Aptos Narrow"/>
        <family val="2"/>
        <scheme val="minor"/>
      </font>
      <alignment horizontal="general" vertical="bottom" textRotation="0" wrapText="1" indent="0" justifyLastLine="0" shrinkToFit="0" readingOrder="0"/>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alignment horizontal="general"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alignment horizontal="general" vertical="bottom"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right style="thin">
          <color theme="0" tint="-0.499984740745262"/>
        </right>
        <top style="thin">
          <color theme="0" tint="-0.499984740745262"/>
        </top>
        <bottom style="thin">
          <color theme="0" tint="-0.499984740745262"/>
        </bottom>
        <vertical/>
        <horizontal/>
      </border>
    </dxf>
    <dxf>
      <border outline="0">
        <left style="thin">
          <color theme="0" tint="-0.499984740745262"/>
        </left>
      </border>
    </dxf>
    <dxf>
      <font>
        <b/>
        <i val="0"/>
        <strike val="0"/>
        <condense val="0"/>
        <extend val="0"/>
        <outline val="0"/>
        <shadow val="0"/>
        <u val="none"/>
        <vertAlign val="baseline"/>
        <sz val="12"/>
        <color theme="1"/>
        <name val="Aptos Narrow"/>
        <family val="2"/>
        <scheme val="minor"/>
      </font>
      <fill>
        <patternFill patternType="solid">
          <fgColor indexed="64"/>
          <bgColor theme="0" tint="-4.9989318521683403E-2"/>
        </patternFill>
      </fill>
      <border diagonalUp="0" diagonalDown="0" outline="0">
        <left style="thin">
          <color theme="0" tint="-0.499984740745262"/>
        </left>
        <right style="thin">
          <color theme="0" tint="-0.499984740745262"/>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border diagonalUp="0" diagonalDown="0">
        <left style="thin">
          <color indexed="64"/>
        </left>
        <right/>
        <top/>
        <bottom style="thin">
          <color indexed="64"/>
        </bottom>
        <vertical/>
        <horizontal/>
      </border>
    </dxf>
    <dxf>
      <fill>
        <patternFill patternType="solid">
          <fgColor indexed="64"/>
          <bgColor theme="4" tint="0.79998168889431442"/>
        </patternFill>
      </fill>
      <border diagonalUp="0" diagonalDown="0">
        <left style="thin">
          <color theme="0" tint="-0.499984740745262"/>
        </left>
        <right/>
        <top/>
        <bottom style="thin">
          <color theme="0" tint="-0.499984740745262"/>
        </bottom>
        <vertical/>
        <horizontal/>
      </border>
    </dxf>
    <dxf>
      <border diagonalUp="0" diagonalDown="0">
        <left/>
        <right style="thin">
          <color indexed="64"/>
        </right>
        <top/>
        <bottom style="thin">
          <color indexed="64"/>
        </bottom>
        <vertical/>
        <horizontal/>
      </border>
    </dxf>
    <dxf>
      <border outline="0">
        <bottom style="thin">
          <color indexed="64"/>
        </bottom>
      </border>
    </dxf>
    <dxf>
      <border outline="0">
        <left style="thin">
          <color indexed="64"/>
        </left>
        <right style="thin">
          <color indexed="64"/>
        </right>
        <top style="thin">
          <color indexed="64"/>
        </top>
      </border>
    </dxf>
    <dxf>
      <fill>
        <patternFill patternType="solid">
          <fgColor indexed="64"/>
          <bgColor theme="4" tint="0.79998168889431442"/>
        </patternFill>
      </fill>
    </dxf>
    <dxf>
      <font>
        <b val="0"/>
        <i val="0"/>
        <strike val="0"/>
        <condense val="0"/>
        <extend val="0"/>
        <outline val="0"/>
        <shadow val="0"/>
        <u val="none"/>
        <vertAlign val="baseline"/>
        <sz val="10.5"/>
        <color rgb="FF424242"/>
        <name val="Arial"/>
        <family val="2"/>
        <scheme val="none"/>
      </font>
      <fill>
        <patternFill patternType="solid">
          <fgColor indexed="64"/>
          <bgColor theme="5"/>
        </patternFill>
      </fill>
    </dxf>
    <dxf>
      <font>
        <b val="0"/>
        <i val="0"/>
        <strike val="0"/>
        <condense val="0"/>
        <extend val="0"/>
        <outline val="0"/>
        <shadow val="0"/>
        <u val="none"/>
        <vertAlign val="baseline"/>
        <sz val="10.5"/>
        <color rgb="FF424242"/>
        <name val="Arial"/>
        <family val="2"/>
        <scheme val="none"/>
      </font>
      <fill>
        <patternFill patternType="solid">
          <fgColor indexed="64"/>
          <bgColor theme="5"/>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165" formatCode="m/d/yy\ h:mm"/>
    </dxf>
    <dxf>
      <font>
        <b/>
        <i val="0"/>
      </font>
      <fill>
        <patternFill>
          <bgColor theme="0" tint="-4.9989318521683403E-2"/>
        </patternFill>
      </fill>
      <border>
        <bottom style="medium">
          <color theme="4"/>
        </bottom>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s>
  <tableStyles count="1" defaultTableStyle="Table Style 1" defaultPivotStyle="PivotStyleLight16">
    <tableStyle name="Table Style 1" pivot="0" count="2" xr9:uid="{F497477B-02D9-4544-86CD-3DA1C1CA4A7A}">
      <tableStyleElement type="wholeTable" dxfId="173"/>
      <tableStyleElement type="headerRow" dxfId="17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Kisii%20and%20Mombasa%20Data%20-%20May/3rd%20version/PROMPTS_Data_20250724_v3.xlsx" TargetMode="External"/><Relationship Id="rId2" Type="http://schemas.openxmlformats.org/officeDocument/2006/relationships/externalLinkPath" Target="https://livejohnshopkins-my.sharepoint.com/personal/mchen148_jh_edu/Documents/Kakamega%20SDR%20Project/Kisii%20and%20Mombasa%20Data%20-%20May/3rd%20version/PROMPTS_Data_20250724_v3.xlsx" TargetMode="External"/><Relationship Id="rId1" Type="http://schemas.openxmlformats.org/officeDocument/2006/relationships/externalLinkPath" Target="/personal/mchen148_jh_edu/Documents/Kakamega%20SDR%20Project/Kisii%20and%20Mombasa%20Data%20-%20May/3rd%20version/PROMPTS_Data_20250724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KUWGayU80UatIQ2xwu3CrO9zDJ4BLJ1Gk-l3GyMy2aqUTSgGOlMlTLhZAaUeKKue" itemId="01YCPRJBHQDKZTUCJVEFE37SY44Z3DQBOH">
      <xxl21:absoluteUrl r:id="rId2"/>
      <xxl21:relativeUrl r:id="rId3"/>
    </xxl21:alternateUrls>
    <sheetNames>
      <sheetName val="Sheet8"/>
      <sheetName val="Sheet10"/>
      <sheetName val="Adoption of Intervention"/>
      <sheetName val="Intervention Coverage"/>
      <sheetName val="Kelly - Mentors Start Date"/>
      <sheetName val="Implementation Start Point"/>
      <sheetName val="Detail1"/>
      <sheetName val="Start Date_Programs"/>
      <sheetName val="ANC 4+ Rate_Biannual"/>
      <sheetName val="Delivery Rate"/>
      <sheetName val="county facilities"/>
    </sheetNames>
    <sheetDataSet>
      <sheetData sheetId="0"/>
      <sheetData sheetId="1"/>
      <sheetData sheetId="2"/>
      <sheetData sheetId="3"/>
      <sheetData sheetId="4"/>
      <sheetData sheetId="5"/>
      <sheetData sheetId="6"/>
      <sheetData sheetId="7"/>
      <sheetData sheetId="8"/>
      <sheetData sheetId="9">
        <row r="4">
          <cell r="C4">
            <v>1.7500000000000002E-2</v>
          </cell>
        </row>
        <row r="5">
          <cell r="C5">
            <v>2.1700000000000001E-2</v>
          </cell>
        </row>
        <row r="6">
          <cell r="C6">
            <v>0.02</v>
          </cell>
        </row>
      </sheetData>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ly Larson" refreshedDate="46149.456868518515" createdVersion="8" refreshedVersion="8" minRefreshableVersion="3" recordCount="728" xr:uid="{15CF3259-8676-5D41-AFF0-ED9D7D01D046}">
  <cacheSource type="worksheet">
    <worksheetSource name="Append"/>
  </cacheSource>
  <cacheFields count="16">
    <cacheField name="parameter_name" numFmtId="0">
      <sharedItems/>
    </cacheField>
    <cacheField name="value" numFmtId="0">
      <sharedItems containsBlank="1" containsMixedTypes="1" containsNumber="1" minValue="0" maxValue="40207381"/>
    </cacheField>
    <cacheField name="ci_lower" numFmtId="0">
      <sharedItems containsString="0" containsBlank="1" containsNumber="1" minValue="2.7E-2" maxValue="4.38"/>
    </cacheField>
    <cacheField name="ci_upper" numFmtId="0">
      <sharedItems containsString="0" containsBlank="1" containsNumber="1" minValue="3.1E-2" maxValue="10.86"/>
    </cacheField>
    <cacheField name="n" numFmtId="0">
      <sharedItems containsString="0" containsBlank="1" containsNumber="1" containsInteger="1" minValue="26" maxValue="3544672"/>
    </cacheField>
    <cacheField name="kind" numFmtId="0">
      <sharedItems containsBlank="1"/>
    </cacheField>
    <cacheField name="category" numFmtId="0">
      <sharedItems containsBlank="1"/>
    </cacheField>
    <cacheField name="description" numFmtId="0">
      <sharedItems containsBlank="1"/>
    </cacheField>
    <cacheField name="note" numFmtId="0">
      <sharedItems containsBlank="1" longText="1"/>
    </cacheField>
    <cacheField name="source" numFmtId="0">
      <sharedItems containsBlank="1" count="111">
        <s v="Waiswa et al. (2020), Kenya and Uganda"/>
        <s v="Kakamega's facility EMS records"/>
        <s v="Li et ail. (2022), USA"/>
        <s v="Dietz et al. (2007), USA"/>
        <s v="Caughey et al. (2008), USA"/>
        <s v="Girma (2022), Ethiopia"/>
        <s v="Elvander (2011), Sweden"/>
        <s v="Yeshitila (2022), Ethiopia"/>
        <s v="Darnal and Dangal (2020), Nepal"/>
        <s v="Solita (2010), Kakamega"/>
        <s v="Wosenu (2018), Ethiopia"/>
        <s v="Odhiambo et al. (2020), Kenya"/>
        <s v="Rajbanshi el al. (2020), Nepal, we use the risk ratio of high-risk pregancies having severe maternal morbidity as proxy here"/>
        <s v="Rajbanshi et al. (2020), Nepal"/>
        <s v="Saapiire et al. (2022), Ghana"/>
        <s v="Mansukhani et al. (2023), LMICs"/>
        <s v="Melkie et al. (2021), review"/>
        <s v="Kawabata et al. (2022), Japan"/>
        <s v="Fink et al. (2023), USA"/>
        <s v="McIsaac et al. (2017), USA"/>
        <s v="Carvalho ER AL. (2020), Brazil"/>
        <s v="Pan (2022), review"/>
        <s v="Gilboa, (2014) Israel"/>
        <s v="Comert (2019)"/>
        <s v="Gabbe et al. (2016)"/>
        <s v="Reed et al. (2018)"/>
        <s v="Li et al. (2017)"/>
        <s v="Gallos el al. (2023)"/>
        <s v="Cancado et al. (2011), 70% of anemia can be corrected"/>
        <s v="Duley et al. (2010), review"/>
        <s v="Ahizechukwu C. Eke et al. (2023), LMICs"/>
        <s v="Rouse et al. (1999)"/>
        <m/>
        <s v="KDHS (2019)"/>
        <s v="unknown and not needed at this time"/>
        <s v="Bagayoko (2023), Kenya"/>
        <s v="DHS 2019, Kenya"/>
        <s v="MOMISH Data: PROMPTS_Data_20250724_v3"/>
        <s v="MOMISH Data: PROMPTS_Data_20250724_v4"/>
        <s v="MOMISH Data: PROMPTS_Data_20250724_v5"/>
        <s v="Croke et al. (2024)"/>
        <s v="Nimako (2020), Kakamega"/>
        <s v="MOMISH Data - TBD how to capture LOC"/>
        <s v="Parameter adjusted in the 1st phase calibration"/>
        <s v="Calibrated to match preterm birth rate"/>
        <s v="Parameter adjusted in the 2nd phase calibration"/>
        <s v="assumed values for testing effect of ultrasound - not used at this time"/>
        <s v="Parameter adjusted in the 3rd phase calibration"/>
        <s v="might be calibrated but might be incomplete"/>
        <s v="KHIS derived"/>
        <s v="KHIS"/>
        <s v="It is innovative multi-component intervention by E-MOTIVE trial (Williams et al., 2024)"/>
        <s v="Owolabi et al. (2020), Kenya"/>
        <s v="Owolabi et al. (2020), Kenya; MOMISH Data: 2024_Kisii FQA Analysis_Jan _20240131"/>
        <s v="Owolabi et al. (2020), Kenya; MOMISH Data: 2024_Kisii FQA Analysis_Jan _20240132"/>
        <s v="Owolabi et al. (2020), Kenya; MOMISH Data: 2024_Kisii FQA Analysis_Jan _20240133"/>
        <s v="Owolabi et al. (2020), Kenya; MOMISH Data: 2024_Makueni FQA Analysis _Jan_20240131"/>
        <s v="Owolabi et al. (2020), Kenya; MOMISH Data: 2024_Makueni FQA Analysis _Jan_20240132"/>
        <s v="Owolabi et al. (2020), Kenya; MOMISH Data: 2024_Makueni FQA Analysis _Jan_20240133"/>
        <s v="Omulo et al. (2022), Kenya"/>
        <s v="Omulo et al. (2022), Kenya; MOMISH Data: Facility Indicators_20250717_v3"/>
        <s v="Omulo et al. (2022), Kenya; MOMISH Data: Facility Indicators_20250717_v4"/>
        <s v="Omulo et al. (2022), Kenya; MOMISH Data: Facility Indicators_20250717_v5"/>
        <s v="Kibira et al. (2020)"/>
        <s v="Coverage of corticosteroids: Gwako et al. (2013), Kenya_x000a_Coverage of antibiotics: Limited evidence data, assumed the same level as corticosteriods"/>
        <s v="56% of people in Kenya paid for IV iron out of pocket (Chhatwal &amp; Ennis, 2022)"/>
        <s v="Kakamega Base Costing Model provided by Jacaranda Health"/>
        <s v="MOMISH Data"/>
        <s v="Nimako (2020), Kakamega (nursing/anesthetists)"/>
        <s v="Assumed it is slightly lower than the worse sensitivity of intrapartum sensors"/>
        <s v="Assumed it is slightly lower than the worse specificity of intrapartum sensors"/>
        <s v="Gates Foundation's internal information"/>
        <s v="LiST Tool"/>
        <s v="Calibrated to match intrapartum stillbirth rate"/>
        <s v="Adebami et al. (2015), Nigeria"/>
        <s v="Radic et al. (2015), Nova Scotia"/>
        <s v="Clark et al. (2011), USA"/>
        <s v="Flannery et al. (2021), USA"/>
        <s v="Caculated based on the preterm rate in Kakamega's EMS records and literature value in Kenya"/>
        <s v="Kakamega's referral data"/>
        <s v="WHO (2025)"/>
        <s v="Statista (2025)"/>
        <s v="Liu and Eggleston (2022)"/>
        <s v="Stones et al. (2019)"/>
        <s v="Used to ensure the density of surgical staff and nurse staff is in the same scale"/>
        <s v="Used to ensure the calculated density of healthcare workers match Kenya level"/>
        <s v="Stat-technologies (2024)"/>
        <s v="Moldenhauer (2024)"/>
        <s v="Calculated based on Kakamega Base Costing Model provided by Jacaranda Health"/>
        <s v="GBD 2019"/>
        <s v="Calculated based on live births recorded in Kakamega facility data and pregnancy rate in Kakamega"/>
        <s v="Caculated based on post-transfer live births and % transfers to L4/5 (Derived from KHIS , don't need additional information)"/>
        <s v="Croke et al. (2024), Kakamega"/>
        <s v="calculated based on total probability theory given known live birth distribution and ANC coverage at home"/>
        <s v="Sandie et al. (2023), sub-Saharan African countries: 40% of CS are ELCS"/>
        <s v="Ghosh et al. (2022), Kenya and Uganda"/>
        <s v="derived from KHIS"/>
        <s v="ask tingting"/>
        <s v="Kakamega Base Costing Model provided by Jacaranda Health; Nimako (2020), Kakamega (nursing/anesthetists)" u="1"/>
        <s v="MOMISH Data Inventory: Facility Indicators_20250717_v3 " u="1"/>
        <s v="MOMISH Data Inventory: Facility Indicators_20250717_v4" u="1"/>
        <s v="MOMISH Data Inventory: Facility Indicators_20250717_v5" u="1"/>
        <s v="MOMISH Data Inventory: Facility Indicators_20250717_v6" u="1"/>
        <s v="MOMISH Data Inventory: Facility Indicators_20250717_v7" u="1"/>
        <s v="MOMISH Data Inventory: Facility Indicators_20250717_v8" u="1"/>
        <s v="MOMISH Data Inventory: Facility Indicators_20250717_v9" u="1"/>
        <s v="MOMISH Data Inventory: Facility Indicators_20250717_v10" u="1"/>
        <s v="MOMISH Data Inventory: Facility Indicators_20250717_v11" u="1"/>
        <s v="Caculated based on post-transfer live births and % transfers to L4/5" u="1"/>
        <s v="Waiswa et al. (2020), Kenya" u="1"/>
        <s v="derived" u="1"/>
      </sharedItems>
    </cacheField>
    <cacheField name="source_sheet" numFmtId="0">
      <sharedItems count="13">
        <s v="sampled_params"/>
        <s v="interv_params"/>
        <s v="array_constants"/>
        <s v="county_demographics"/>
        <s v="county_calibrated"/>
        <s v="county_supply"/>
        <s v="county_facilities"/>
        <s v="constants"/>
        <s v="cost_params"/>
        <s v="disability_weights"/>
        <s v="calibration_targets"/>
        <s v="slider_parameters"/>
        <s v="lookup_tables"/>
      </sharedItems>
    </cacheField>
    <cacheField name="index" numFmtId="0">
      <sharedItems containsString="0" containsBlank="1" containsNumber="1" minValue="0" maxValue="17"/>
    </cacheField>
    <cacheField name="county" numFmtId="0">
      <sharedItems containsBlank="1" count="5">
        <m/>
        <s v="kakamega"/>
        <s v="kisii"/>
        <s v="makueni"/>
        <s v="mombasa"/>
      </sharedItems>
    </cacheField>
    <cacheField name="facility_level" numFmtId="0">
      <sharedItems containsBlank="1"/>
    </cacheField>
    <cacheField name="unit" numFmtId="0">
      <sharedItems containsBlank="1"/>
    </cacheField>
    <cacheField name="duration_yea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8">
  <r>
    <s v="p_lb_l23_45"/>
    <n v="0.122"/>
    <n v="0.11899999999999999"/>
    <n v="0.125"/>
    <n v="50981"/>
    <s v="proportion"/>
    <s v="facility"/>
    <s v="P(LB at L4/5 given incoming maternal referrals)"/>
    <m/>
    <x v="0"/>
    <x v="0"/>
    <m/>
    <x v="0"/>
    <m/>
    <m/>
    <m/>
  </r>
  <r>
    <s v="CS_AVD_ratio"/>
    <n v="0.98499999999999999"/>
    <n v="0.98399999999999999"/>
    <n v="0.98599999999999999"/>
    <n v="44031"/>
    <s v="proportion"/>
    <s v="facility"/>
    <s v="ratio of CS to AVD at L4/5"/>
    <m/>
    <x v="1"/>
    <x v="0"/>
    <m/>
    <x v="0"/>
    <m/>
    <m/>
    <m/>
  </r>
  <r>
    <s v="OR_preterm_ANC"/>
    <n v="0.48"/>
    <n v="0.47899999999999998"/>
    <n v="0.48099999999999998"/>
    <m/>
    <s v="OR"/>
    <s v="gestational_age"/>
    <s v="OR preterm birth given adequate ANC"/>
    <m/>
    <x v="2"/>
    <x v="0"/>
    <m/>
    <x v="0"/>
    <m/>
    <m/>
    <m/>
  </r>
  <r>
    <s v="E_Preterm_LMP_preterm"/>
    <n v="0.64300000000000002"/>
    <n v="0.64100000000000001"/>
    <n v="0.64500000000000002"/>
    <n v="165908"/>
    <s v="proportion"/>
    <s v="gestational_age"/>
    <s v="P(predict preterm given actually preterm) by LMP"/>
    <m/>
    <x v="3"/>
    <x v="0"/>
    <m/>
    <x v="0"/>
    <m/>
    <m/>
    <m/>
  </r>
  <r>
    <s v="E_Preterm_LMP_atterm"/>
    <n v="3.9E-2"/>
    <n v="3.7999999999999999E-2"/>
    <n v="0.04"/>
    <n v="165908"/>
    <s v="proportion"/>
    <s v="gestational_age"/>
    <s v="P(predict preterm given actually at-term) by LMP"/>
    <m/>
    <x v="3"/>
    <x v="0"/>
    <m/>
    <x v="0"/>
    <m/>
    <m/>
    <m/>
  </r>
  <r>
    <s v="E_Postterm_LMP_preterm"/>
    <n v="0.03"/>
    <n v="2.9000000000000001E-2"/>
    <n v="3.1E-2"/>
    <n v="165908"/>
    <s v="proportion"/>
    <s v="gestational_age"/>
    <s v="P(predict postterm given actually preterm) by LMP"/>
    <m/>
    <x v="3"/>
    <x v="0"/>
    <m/>
    <x v="0"/>
    <m/>
    <m/>
    <m/>
  </r>
  <r>
    <s v="E_Postterm_LMP_atterm"/>
    <n v="0.105"/>
    <n v="0.104"/>
    <n v="0.106"/>
    <n v="165908"/>
    <s v="proportion"/>
    <s v="gestational_age"/>
    <s v="P(predict postterm given actually at-term) by LMP"/>
    <m/>
    <x v="3"/>
    <x v="0"/>
    <m/>
    <x v="0"/>
    <m/>
    <m/>
    <m/>
  </r>
  <r>
    <s v="p_PL_GA_37"/>
    <n v="7.2999999999999995E-2"/>
    <n v="6.7000000000000004E-2"/>
    <n v="7.9000000000000001E-2"/>
    <n v="6168"/>
    <s v="proportion"/>
    <s v="intrapartum"/>
    <s v="P(prolonged labor given GA=37)"/>
    <m/>
    <x v="4"/>
    <x v="0"/>
    <m/>
    <x v="0"/>
    <m/>
    <m/>
    <m/>
  </r>
  <r>
    <s v="p_PL_GA_38"/>
    <n v="7.9000000000000001E-2"/>
    <n v="7.4999999999999997E-2"/>
    <n v="8.3000000000000004E-2"/>
    <n v="15773"/>
    <s v="proportion"/>
    <s v="intrapartum"/>
    <s v="P(prolonged labor given GA=38)"/>
    <m/>
    <x v="4"/>
    <x v="0"/>
    <m/>
    <x v="0"/>
    <m/>
    <m/>
    <m/>
  </r>
  <r>
    <s v="p_PL_GA_39"/>
    <n v="9.1999999999999998E-2"/>
    <n v="8.8999999999999996E-2"/>
    <n v="9.5000000000000001E-2"/>
    <n v="30685"/>
    <s v="proportion"/>
    <s v="intrapartum"/>
    <s v="P(prolonged labor given GA=39)"/>
    <m/>
    <x v="4"/>
    <x v="0"/>
    <m/>
    <x v="0"/>
    <m/>
    <m/>
    <m/>
  </r>
  <r>
    <s v="p_PL_GA_40"/>
    <n v="0.112"/>
    <n v="0.109"/>
    <n v="0.115"/>
    <n v="44722"/>
    <s v="proportion"/>
    <s v="intrapartum"/>
    <s v="P(prolonged labor given GA=40)"/>
    <m/>
    <x v="4"/>
    <x v="0"/>
    <m/>
    <x v="0"/>
    <m/>
    <m/>
    <m/>
  </r>
  <r>
    <s v="p_PL_GA_41"/>
    <n v="0.14899999999999999"/>
    <n v="0.14399999999999999"/>
    <n v="0.154"/>
    <n v="18638"/>
    <s v="proportion"/>
    <s v="intrapartum"/>
    <s v="P(prolonged labor given GA=41)"/>
    <m/>
    <x v="4"/>
    <x v="0"/>
    <m/>
    <x v="0"/>
    <m/>
    <m/>
    <m/>
  </r>
  <r>
    <s v="p_PL_GA_42"/>
    <n v="0.19700000000000001"/>
    <n v="0.183"/>
    <n v="0.21099999999999999"/>
    <n v="3268"/>
    <s v="proportion"/>
    <s v="intrapartum"/>
    <s v="P(prolonged labor given GA&gt;=42)"/>
    <m/>
    <x v="4"/>
    <x v="0"/>
    <m/>
    <x v="0"/>
    <m/>
    <m/>
    <m/>
  </r>
  <r>
    <s v="p_OL_notprolonged"/>
    <n v="7.0000000000000007E-2"/>
    <n v="4.2000000000000003E-2"/>
    <n v="9.8000000000000004E-2"/>
    <n v="318"/>
    <s v="proportion"/>
    <s v="intrapartum"/>
    <s v="P(OL given not prolonged)"/>
    <s v="this is in one array: p_OL in code"/>
    <x v="5"/>
    <x v="0"/>
    <m/>
    <x v="0"/>
    <m/>
    <m/>
    <m/>
  </r>
  <r>
    <s v="p_OL_prolonged"/>
    <n v="0.185"/>
    <n v="0.14199999999999999"/>
    <n v="0.22800000000000001"/>
    <n v="318"/>
    <s v="proportion"/>
    <s v="intrapartum"/>
    <s v="P(OL given prolonged)"/>
    <s v="this is in one array: p_OL in code"/>
    <x v="5"/>
    <x v="0"/>
    <m/>
    <x v="0"/>
    <m/>
    <m/>
    <m/>
  </r>
  <r>
    <s v="p_hypoxia"/>
    <n v="0.105"/>
    <n v="8.3000000000000004E-2"/>
    <n v="0.127"/>
    <n v="779"/>
    <s v="proportion"/>
    <s v="intrapartum"/>
    <s v="probability of hypoxia"/>
    <m/>
    <x v="6"/>
    <x v="0"/>
    <m/>
    <x v="0"/>
    <m/>
    <m/>
    <m/>
  </r>
  <r>
    <s v="p_mat_sepsis_OL"/>
    <n v="0.35699999999999998"/>
    <n v="0.22700000000000001"/>
    <n v="0.47399999999999998"/>
    <m/>
    <s v="proportion"/>
    <s v="complications"/>
    <s v="P(maternal sepsis given OL)"/>
    <m/>
    <x v="7"/>
    <x v="0"/>
    <m/>
    <x v="0"/>
    <m/>
    <m/>
    <m/>
  </r>
  <r>
    <s v="p_mat_sepsis_elective_CS"/>
    <n v="7.0000000000000007E-2"/>
    <n v="3.2000000000000001E-2"/>
    <n v="0.108"/>
    <n v="170"/>
    <s v="proportion"/>
    <s v="complications"/>
    <s v="P(maternal sepsis given elective CS)"/>
    <m/>
    <x v="8"/>
    <x v="0"/>
    <m/>
    <x v="0"/>
    <m/>
    <m/>
    <m/>
  </r>
  <r>
    <s v="p_mat_sepsis_emergency_CS"/>
    <n v="0.33500000000000002"/>
    <n v="0.26400000000000001"/>
    <n v="0.40600000000000003"/>
    <n v="170"/>
    <s v="proportion"/>
    <s v="complications"/>
    <s v="P(maternal sepsis given emergency CS)"/>
    <m/>
    <x v="8"/>
    <x v="0"/>
    <m/>
    <x v="0"/>
    <m/>
    <m/>
    <m/>
  </r>
  <r>
    <s v="p_pph_OL"/>
    <n v="0.14799999999999999"/>
    <n v="8.7999999999999995E-2"/>
    <n v="0.20799999999999999"/>
    <n v="135"/>
    <s v="proportion"/>
    <s v="complications"/>
    <s v="P(PPH given OL)"/>
    <m/>
    <x v="9"/>
    <x v="0"/>
    <m/>
    <x v="0"/>
    <m/>
    <m/>
    <m/>
  </r>
  <r>
    <s v="p_pph_elective_CS"/>
    <n v="6.4000000000000001E-2"/>
    <n v="2.7E-2"/>
    <n v="0.10100000000000001"/>
    <n v="170"/>
    <s v="proportion"/>
    <s v="complications"/>
    <s v="P(PPH given elective CS)"/>
    <m/>
    <x v="8"/>
    <x v="0"/>
    <m/>
    <x v="0"/>
    <m/>
    <m/>
    <m/>
  </r>
  <r>
    <s v="p_pph_emergency_CS"/>
    <n v="0.188"/>
    <n v="0.129"/>
    <n v="0.247"/>
    <n v="170"/>
    <s v="proportion"/>
    <s v="complications"/>
    <s v="P(PPH given emergency CS)"/>
    <m/>
    <x v="8"/>
    <x v="0"/>
    <m/>
    <x v="0"/>
    <m/>
    <m/>
    <m/>
  </r>
  <r>
    <s v="p_stillbirth_OL"/>
    <n v="0.185"/>
    <n v="0.11899999999999999"/>
    <n v="0.251"/>
    <n v="135"/>
    <s v="proportion"/>
    <s v="complications"/>
    <s v="P(stillbirth given OL)"/>
    <m/>
    <x v="9"/>
    <x v="0"/>
    <m/>
    <x v="0"/>
    <m/>
    <m/>
    <m/>
  </r>
  <r>
    <s v="p_asphyxia_OL"/>
    <n v="0.69199999999999995"/>
    <n v="0.51500000000000001"/>
    <n v="0.86899999999999999"/>
    <n v="26"/>
    <s v="proportion"/>
    <s v="complications"/>
    <s v="P(asphyxia given OL)"/>
    <m/>
    <x v="10"/>
    <x v="0"/>
    <m/>
    <x v="0"/>
    <m/>
    <m/>
    <m/>
  </r>
  <r>
    <s v="p_neo_sepsis_OL"/>
    <n v="0.16500000000000001"/>
    <n v="0.10199999999999999"/>
    <n v="0.22800000000000001"/>
    <n v="135"/>
    <s v="proportion"/>
    <s v="complications"/>
    <s v="P(neonatal sepsis given OL)"/>
    <m/>
    <x v="9"/>
    <x v="0"/>
    <m/>
    <x v="0"/>
    <m/>
    <m/>
    <m/>
  </r>
  <r>
    <s v="p_comp_anemia"/>
    <n v="0.25"/>
    <n v="0.25"/>
    <n v="0.25"/>
    <n v="3544672"/>
    <s v="proportion"/>
    <s v="complications"/>
    <s v="probability of anemia"/>
    <m/>
    <x v="11"/>
    <x v="0"/>
    <m/>
    <x v="0"/>
    <m/>
    <m/>
    <m/>
  </r>
  <r>
    <s v="RR_comp_highrisk_vs_lowrisk"/>
    <n v="4.2"/>
    <n v="1.79"/>
    <n v="10.86"/>
    <m/>
    <s v="RR"/>
    <s v="relative_risk"/>
    <s v="RR complications high vs low risk"/>
    <m/>
    <x v="12"/>
    <x v="0"/>
    <m/>
    <x v="0"/>
    <m/>
    <m/>
    <m/>
  </r>
  <r>
    <s v="RR_comp_severe_highrisk_vs_lowrisk"/>
    <n v="4.2"/>
    <n v="1.68"/>
    <n v="10.5"/>
    <m/>
    <s v="RR"/>
    <s v="relative_risk"/>
    <s v="RR severe complications high vs low risk"/>
    <m/>
    <x v="13"/>
    <x v="0"/>
    <m/>
    <x v="0"/>
    <m/>
    <m/>
    <m/>
  </r>
  <r>
    <s v="or_anc_anemia"/>
    <n v="2.2599999999999998"/>
    <n v="1.05"/>
    <n v="4.8899999999999997"/>
    <m/>
    <s v="OR"/>
    <s v="relative_risk"/>
    <s v="OR anemia without ANC"/>
    <m/>
    <x v="14"/>
    <x v="0"/>
    <m/>
    <x v="0"/>
    <m/>
    <m/>
    <m/>
  </r>
  <r>
    <s v="or_anemia_pph"/>
    <n v="3.54"/>
    <n v="1.2"/>
    <n v="10.4"/>
    <m/>
    <s v="OR"/>
    <s v="relative_risk"/>
    <s v="OR PPH given anemia"/>
    <m/>
    <x v="15"/>
    <x v="0"/>
    <m/>
    <x v="0"/>
    <m/>
    <m/>
    <m/>
  </r>
  <r>
    <s v="or_anemia_sepsis"/>
    <n v="5.68"/>
    <n v="4.38"/>
    <n v="7.36"/>
    <m/>
    <s v="OR"/>
    <s v="relative_risk"/>
    <s v="OR sepsis given anemia"/>
    <m/>
    <x v="16"/>
    <x v="0"/>
    <m/>
    <x v="0"/>
    <m/>
    <m/>
    <m/>
  </r>
  <r>
    <s v="or_anemia_eclampsia"/>
    <n v="3.74"/>
    <n v="2.79"/>
    <n v="4.8099999999999996"/>
    <m/>
    <s v="OR"/>
    <s v="relative_risk"/>
    <s v="OR eclampsia given anemia"/>
    <m/>
    <x v="17"/>
    <x v="0"/>
    <m/>
    <x v="0"/>
    <m/>
    <m/>
    <m/>
  </r>
  <r>
    <s v="OR_MM_CSvsSVD"/>
    <n v="2.2799999999999998"/>
    <n v="1.87"/>
    <n v="2.79"/>
    <m/>
    <s v="OR"/>
    <s v="relative_risk"/>
    <s v="OR maternal mortality CS vs SVD"/>
    <m/>
    <x v="18"/>
    <x v="0"/>
    <m/>
    <x v="0"/>
    <m/>
    <m/>
    <m/>
  </r>
  <r>
    <s v="OR_MM_EmCSvsELCS"/>
    <n v="3.17"/>
    <n v="2.48"/>
    <n v="4.04"/>
    <m/>
    <s v="OR"/>
    <s v="relative_risk"/>
    <s v="OR maternal mortality emergency vs elective CS"/>
    <m/>
    <x v="18"/>
    <x v="0"/>
    <m/>
    <x v="0"/>
    <m/>
    <m/>
    <m/>
  </r>
  <r>
    <s v="OR_MM_transfer"/>
    <n v="1.59"/>
    <n v="1.3"/>
    <n v="1.93"/>
    <m/>
    <s v="OR"/>
    <s v="relative_risk"/>
    <s v="OR maternal mortality by transfer"/>
    <m/>
    <x v="19"/>
    <x v="0"/>
    <m/>
    <x v="0"/>
    <m/>
    <m/>
    <m/>
  </r>
  <r>
    <s v="OR_NM_transfer"/>
    <n v="2.5"/>
    <n v="1.1000000000000001"/>
    <n v="5.6"/>
    <m/>
    <s v="OR"/>
    <s v="relative_risk"/>
    <s v="OR neonatal mortality by transfer"/>
    <m/>
    <x v="20"/>
    <x v="0"/>
    <m/>
    <x v="0"/>
    <m/>
    <m/>
    <m/>
  </r>
  <r>
    <s v="sen_prolonged_IS"/>
    <n v="0.74"/>
    <n v="0.65"/>
    <n v="0.82"/>
    <m/>
    <s v="proportion"/>
    <s v="sensor"/>
    <s v="sensitivity predicting prolonged labor by IS"/>
    <m/>
    <x v="21"/>
    <x v="0"/>
    <m/>
    <x v="0"/>
    <m/>
    <m/>
    <m/>
  </r>
  <r>
    <s v="spec_prolonged_IS"/>
    <n v="0.77"/>
    <n v="0.69"/>
    <n v="0.84"/>
    <m/>
    <s v="proportion"/>
    <s v="sensor"/>
    <s v="specificity predicting prolonged labor by IS"/>
    <m/>
    <x v="21"/>
    <x v="0"/>
    <m/>
    <x v="0"/>
    <m/>
    <m/>
    <m/>
  </r>
  <r>
    <s v="sen_ol_IS"/>
    <n v="0.87"/>
    <n v="0.81699999999999995"/>
    <n v="0.92300000000000004"/>
    <n v="154"/>
    <s v="proportion"/>
    <s v="sensor"/>
    <s v="sensitivity predicting OL by IS"/>
    <m/>
    <x v="22"/>
    <x v="0"/>
    <m/>
    <x v="0"/>
    <m/>
    <m/>
    <m/>
  </r>
  <r>
    <s v="sen_hypoxia_IS"/>
    <n v="0.77400000000000002"/>
    <n v="0.73899999999999999"/>
    <n v="0.80900000000000005"/>
    <n v="552"/>
    <s v="proportion"/>
    <s v="sensor"/>
    <s v="sensitivity predicting hypoxia by IS"/>
    <m/>
    <x v="23"/>
    <x v="0"/>
    <m/>
    <x v="0"/>
    <m/>
    <m/>
    <m/>
  </r>
  <r>
    <s v="spec_hypoxia_IS"/>
    <n v="0.93899999999999995"/>
    <n v="0.91900000000000004"/>
    <n v="0.95899999999999996"/>
    <n v="552"/>
    <s v="proportion"/>
    <s v="sensor"/>
    <s v="specificity predicting hypoxia by IS"/>
    <m/>
    <x v="23"/>
    <x v="0"/>
    <m/>
    <x v="0"/>
    <m/>
    <m/>
    <m/>
  </r>
  <r>
    <s v="OR_RDS_treat"/>
    <n v="0.53"/>
    <m/>
    <m/>
    <m/>
    <s v="fixed"/>
    <s v="preterm"/>
    <s v="OR preterm having RDS given treatment"/>
    <m/>
    <x v="24"/>
    <x v="1"/>
    <m/>
    <x v="0"/>
    <m/>
    <m/>
    <m/>
  </r>
  <r>
    <s v="OR_IVH_treat"/>
    <n v="0.38"/>
    <m/>
    <m/>
    <m/>
    <s v="fixed"/>
    <s v="preterm"/>
    <s v="OR preterm having IVH given treatment"/>
    <m/>
    <x v="24"/>
    <x v="1"/>
    <m/>
    <x v="0"/>
    <m/>
    <m/>
    <m/>
  </r>
  <r>
    <s v="OR_NEC_treat"/>
    <n v="0.28000000000000003"/>
    <n v="0.14000000000000001"/>
    <n v="0.56000000000000005"/>
    <n v="580"/>
    <s v="OR"/>
    <s v="preterm"/>
    <s v="OR preterm having NEC given treatment"/>
    <m/>
    <x v="25"/>
    <x v="1"/>
    <m/>
    <x v="0"/>
    <m/>
    <m/>
    <m/>
  </r>
  <r>
    <s v="RR_Sepsis_treat"/>
    <n v="0.24"/>
    <n v="0.13"/>
    <n v="0.44"/>
    <n v="2063"/>
    <s v="RR"/>
    <s v="preterm"/>
    <s v="RR preterm having sepsis given treatment"/>
    <m/>
    <x v="26"/>
    <x v="1"/>
    <m/>
    <x v="0"/>
    <m/>
    <m/>
    <m/>
  </r>
  <r>
    <s v="E_pph_bundle"/>
    <n v="0.51"/>
    <n v="0.44"/>
    <n v="0.6"/>
    <m/>
    <s v="RR"/>
    <s v="maternal"/>
    <s v="efficacy of PPH bundle"/>
    <m/>
    <x v="27"/>
    <x v="1"/>
    <m/>
    <x v="0"/>
    <m/>
    <m/>
    <m/>
  </r>
  <r>
    <s v="E_iv_iron"/>
    <n v="0.3"/>
    <n v="0.20300000000000001"/>
    <n v="0.39700000000000002"/>
    <n v="86"/>
    <s v="proportion"/>
    <s v="maternal"/>
    <s v="efficacy of IV iron for anemia"/>
    <m/>
    <x v="28"/>
    <x v="1"/>
    <m/>
    <x v="0"/>
    <m/>
    <m/>
    <m/>
  </r>
  <r>
    <s v="E_MgSO4"/>
    <n v="0.41"/>
    <n v="0.28999999999999998"/>
    <n v="0.57999999999999996"/>
    <n v="11444"/>
    <s v="RR"/>
    <s v="maternal"/>
    <s v="efficacy of MgSO4 for eclampsia"/>
    <m/>
    <x v="29"/>
    <x v="1"/>
    <m/>
    <x v="0"/>
    <m/>
    <m/>
    <m/>
  </r>
  <r>
    <s v="E_antibiotics"/>
    <n v="0.67"/>
    <n v="0.56000000000000005"/>
    <n v="0.79"/>
    <n v="14590"/>
    <s v="RR"/>
    <s v="maternal"/>
    <s v="efficacy of antibiotics for sepsis"/>
    <m/>
    <x v="30"/>
    <x v="1"/>
    <m/>
    <x v="0"/>
    <m/>
    <m/>
    <m/>
  </r>
  <r>
    <s v="E_oxytocin"/>
    <n v="0.91"/>
    <n v="0.82699999999999996"/>
    <n v="0.99299999999999999"/>
    <n v="46"/>
    <s v="proportion"/>
    <s v="maternal"/>
    <s v="efficacy of oxytocin"/>
    <m/>
    <x v="31"/>
    <x v="1"/>
    <m/>
    <x v="0"/>
    <m/>
    <m/>
    <m/>
  </r>
  <r>
    <s v="phone_ownership"/>
    <n v="0.89"/>
    <m/>
    <m/>
    <m/>
    <m/>
    <s v="PROMPTS"/>
    <s v="phone ownership rate"/>
    <m/>
    <x v="32"/>
    <x v="1"/>
    <m/>
    <x v="0"/>
    <m/>
    <m/>
    <m/>
  </r>
  <r>
    <s v="intervention_fidelity"/>
    <n v="0.87"/>
    <m/>
    <m/>
    <m/>
    <m/>
    <s v="PROMPTS"/>
    <s v="intervention fidelity"/>
    <m/>
    <x v="32"/>
    <x v="1"/>
    <m/>
    <x v="0"/>
    <m/>
    <m/>
    <m/>
  </r>
  <r>
    <s v="OR_anc4p"/>
    <n v="1.38"/>
    <m/>
    <m/>
    <m/>
    <m/>
    <s v="PROMPTS"/>
    <s v="OR for 4+ ANC"/>
    <m/>
    <x v="32"/>
    <x v="1"/>
    <m/>
    <x v="0"/>
    <m/>
    <m/>
    <m/>
  </r>
  <r>
    <s v="sen_risk_trad_target"/>
    <n v="0.95"/>
    <m/>
    <m/>
    <m/>
    <m/>
    <s v="PROMPTS"/>
    <s v="target sensitivity when mothers recognize danger signs"/>
    <m/>
    <x v="32"/>
    <x v="1"/>
    <m/>
    <x v="0"/>
    <m/>
    <m/>
    <m/>
  </r>
  <r>
    <s v="spec_risk_trad_target"/>
    <n v="0.63100000000000001"/>
    <m/>
    <m/>
    <m/>
    <m/>
    <s v="PROMPTS"/>
    <s v="target specificity when mothers recognize danger signs"/>
    <m/>
    <x v="32"/>
    <x v="1"/>
    <m/>
    <x v="0"/>
    <m/>
    <m/>
    <m/>
  </r>
  <r>
    <s v="p_move_home_base"/>
    <n v="0.3"/>
    <m/>
    <m/>
    <m/>
    <m/>
    <s v="PROMPTS"/>
    <s v="P(move from home at baseline)"/>
    <m/>
    <x v="32"/>
    <x v="1"/>
    <m/>
    <x v="0"/>
    <m/>
    <m/>
    <m/>
  </r>
  <r>
    <s v="GA_distribution"/>
    <n v="1104"/>
    <m/>
    <m/>
    <m/>
    <m/>
    <m/>
    <s v="GA 27 weeks count"/>
    <m/>
    <x v="32"/>
    <x v="2"/>
    <n v="0"/>
    <x v="0"/>
    <m/>
    <m/>
    <m/>
  </r>
  <r>
    <s v="GA_distribution"/>
    <n v="625"/>
    <m/>
    <m/>
    <m/>
    <m/>
    <m/>
    <s v="GA 28 weeks count"/>
    <m/>
    <x v="32"/>
    <x v="2"/>
    <n v="1"/>
    <x v="0"/>
    <m/>
    <m/>
    <m/>
  </r>
  <r>
    <s v="GA_distribution"/>
    <n v="853"/>
    <m/>
    <m/>
    <m/>
    <m/>
    <m/>
    <s v="GA 29 weeks count"/>
    <m/>
    <x v="32"/>
    <x v="2"/>
    <n v="2"/>
    <x v="0"/>
    <m/>
    <m/>
    <m/>
  </r>
  <r>
    <s v="GA_distribution"/>
    <n v="1269"/>
    <m/>
    <m/>
    <m/>
    <m/>
    <m/>
    <s v="GA 30 weeks count"/>
    <m/>
    <x v="32"/>
    <x v="2"/>
    <n v="3"/>
    <x v="0"/>
    <m/>
    <m/>
    <m/>
  </r>
  <r>
    <s v="GA_distribution"/>
    <n v="1707"/>
    <m/>
    <m/>
    <m/>
    <m/>
    <m/>
    <s v="GA 31 weeks count"/>
    <m/>
    <x v="32"/>
    <x v="2"/>
    <n v="4"/>
    <x v="0"/>
    <m/>
    <m/>
    <m/>
  </r>
  <r>
    <s v="GA_distribution"/>
    <n v="2479"/>
    <m/>
    <m/>
    <m/>
    <m/>
    <m/>
    <s v="GA 32 weeks count"/>
    <m/>
    <x v="32"/>
    <x v="2"/>
    <n v="5"/>
    <x v="0"/>
    <m/>
    <m/>
    <m/>
  </r>
  <r>
    <s v="GA_distribution"/>
    <n v="3584"/>
    <m/>
    <m/>
    <m/>
    <m/>
    <m/>
    <s v="GA 33 weeks count"/>
    <m/>
    <x v="32"/>
    <x v="2"/>
    <n v="6"/>
    <x v="0"/>
    <m/>
    <m/>
    <m/>
  </r>
  <r>
    <s v="GA_distribution"/>
    <n v="5790"/>
    <m/>
    <m/>
    <m/>
    <m/>
    <m/>
    <s v="GA 34 weeks count"/>
    <m/>
    <x v="32"/>
    <x v="2"/>
    <n v="7"/>
    <x v="0"/>
    <m/>
    <m/>
    <m/>
  </r>
  <r>
    <s v="GA_distribution"/>
    <n v="10109"/>
    <m/>
    <m/>
    <m/>
    <m/>
    <m/>
    <s v="GA 35 weeks count"/>
    <m/>
    <x v="32"/>
    <x v="2"/>
    <n v="8"/>
    <x v="0"/>
    <m/>
    <m/>
    <m/>
  </r>
  <r>
    <s v="GA_distribution"/>
    <n v="15665"/>
    <m/>
    <m/>
    <m/>
    <m/>
    <m/>
    <s v="GA 36 weeks count"/>
    <m/>
    <x v="32"/>
    <x v="2"/>
    <n v="9"/>
    <x v="0"/>
    <m/>
    <m/>
    <m/>
  </r>
  <r>
    <s v="GA_distribution"/>
    <n v="23644"/>
    <m/>
    <m/>
    <m/>
    <m/>
    <m/>
    <s v="GA 37 weeks count"/>
    <m/>
    <x v="32"/>
    <x v="2"/>
    <n v="10"/>
    <x v="0"/>
    <m/>
    <m/>
    <m/>
  </r>
  <r>
    <s v="GA_distribution"/>
    <n v="33812"/>
    <m/>
    <m/>
    <m/>
    <m/>
    <m/>
    <s v="GA 38 weeks count"/>
    <m/>
    <x v="32"/>
    <x v="2"/>
    <n v="11"/>
    <x v="0"/>
    <m/>
    <m/>
    <m/>
  </r>
  <r>
    <s v="GA_distribution"/>
    <n v="45770"/>
    <m/>
    <m/>
    <m/>
    <m/>
    <m/>
    <s v="GA 39 weeks count"/>
    <m/>
    <x v="32"/>
    <x v="2"/>
    <n v="12"/>
    <x v="0"/>
    <m/>
    <m/>
    <m/>
  </r>
  <r>
    <s v="GA_distribution"/>
    <n v="40159"/>
    <m/>
    <m/>
    <m/>
    <m/>
    <m/>
    <s v="GA 40 weeks count"/>
    <m/>
    <x v="32"/>
    <x v="2"/>
    <n v="13"/>
    <x v="0"/>
    <m/>
    <m/>
    <m/>
  </r>
  <r>
    <s v="GA_distribution"/>
    <n v="23973"/>
    <m/>
    <m/>
    <m/>
    <m/>
    <m/>
    <s v="GA 41 weeks count"/>
    <m/>
    <x v="32"/>
    <x v="2"/>
    <n v="14"/>
    <x v="0"/>
    <m/>
    <m/>
    <m/>
  </r>
  <r>
    <s v="GA_distribution"/>
    <n v="12425"/>
    <m/>
    <m/>
    <m/>
    <m/>
    <m/>
    <s v="GA 42 weeks count"/>
    <m/>
    <x v="32"/>
    <x v="2"/>
    <n v="15"/>
    <x v="0"/>
    <m/>
    <m/>
    <m/>
  </r>
  <r>
    <s v="GA_distribution"/>
    <n v="6117"/>
    <m/>
    <m/>
    <m/>
    <m/>
    <m/>
    <s v="GA 43 weeks count"/>
    <m/>
    <x v="32"/>
    <x v="2"/>
    <n v="16"/>
    <x v="0"/>
    <m/>
    <m/>
    <m/>
  </r>
  <r>
    <s v="GA_distribution"/>
    <n v="3378"/>
    <m/>
    <m/>
    <m/>
    <m/>
    <m/>
    <s v="GA 44 weeks count"/>
    <m/>
    <x v="32"/>
    <x v="2"/>
    <n v="17"/>
    <x v="0"/>
    <m/>
    <m/>
    <m/>
  </r>
  <r>
    <s v="GA_anc"/>
    <n v="2.8432700000000002E-3"/>
    <m/>
    <m/>
    <m/>
    <m/>
    <m/>
    <s v="P(GA=27 given ANC)"/>
    <m/>
    <x v="32"/>
    <x v="2"/>
    <n v="0"/>
    <x v="0"/>
    <m/>
    <m/>
    <m/>
  </r>
  <r>
    <s v="GA_anc"/>
    <n v="1.6096400000000001E-3"/>
    <m/>
    <m/>
    <m/>
    <m/>
    <m/>
    <s v="P(GA=28 given ANC)"/>
    <m/>
    <x v="32"/>
    <x v="2"/>
    <n v="1"/>
    <x v="0"/>
    <m/>
    <m/>
    <m/>
  </r>
  <r>
    <s v="GA_anc"/>
    <n v="2.1968399999999998E-3"/>
    <m/>
    <m/>
    <m/>
    <m/>
    <m/>
    <s v="P(GA=29 given ANC)"/>
    <m/>
    <x v="32"/>
    <x v="2"/>
    <n v="2"/>
    <x v="0"/>
    <m/>
    <m/>
    <m/>
  </r>
  <r>
    <s v="GA_anc"/>
    <n v="3.2682200000000001E-3"/>
    <m/>
    <m/>
    <m/>
    <m/>
    <m/>
    <s v="P(GA=30 given ANC)"/>
    <m/>
    <x v="32"/>
    <x v="2"/>
    <n v="3"/>
    <x v="0"/>
    <m/>
    <m/>
    <m/>
  </r>
  <r>
    <s v="GA_anc"/>
    <n v="4.39625E-3"/>
    <m/>
    <m/>
    <m/>
    <m/>
    <m/>
    <s v="P(GA=31 given ANC)"/>
    <m/>
    <x v="32"/>
    <x v="2"/>
    <n v="4"/>
    <x v="0"/>
    <m/>
    <m/>
    <m/>
  </r>
  <r>
    <s v="GA_anc"/>
    <n v="6.3844799999999997E-3"/>
    <m/>
    <m/>
    <m/>
    <m/>
    <m/>
    <s v="P(GA=32 given ANC)"/>
    <m/>
    <x v="32"/>
    <x v="2"/>
    <n v="5"/>
    <x v="0"/>
    <m/>
    <m/>
    <m/>
  </r>
  <r>
    <s v="GA_anc"/>
    <n v="9.2303300000000001E-3"/>
    <m/>
    <m/>
    <m/>
    <m/>
    <m/>
    <s v="P(GA=33 given ANC)"/>
    <m/>
    <x v="32"/>
    <x v="2"/>
    <n v="6"/>
    <x v="0"/>
    <m/>
    <m/>
    <m/>
  </r>
  <r>
    <s v="GA_anc"/>
    <n v="1.491172E-2"/>
    <m/>
    <m/>
    <m/>
    <m/>
    <m/>
    <s v="P(GA=34 given ANC)"/>
    <m/>
    <x v="32"/>
    <x v="2"/>
    <n v="7"/>
    <x v="0"/>
    <m/>
    <m/>
    <m/>
  </r>
  <r>
    <s v="GA_anc"/>
    <n v="2.6034990000000001E-2"/>
    <m/>
    <m/>
    <m/>
    <m/>
    <m/>
    <s v="P(GA=35 given ANC)"/>
    <m/>
    <x v="32"/>
    <x v="2"/>
    <n v="8"/>
    <x v="0"/>
    <m/>
    <m/>
    <m/>
  </r>
  <r>
    <s v="GA_anc"/>
    <n v="4.0344060000000001E-2"/>
    <m/>
    <m/>
    <m/>
    <m/>
    <m/>
    <s v="P(GA=36 given ANC)"/>
    <m/>
    <x v="32"/>
    <x v="2"/>
    <n v="9"/>
    <x v="0"/>
    <m/>
    <m/>
    <m/>
  </r>
  <r>
    <s v="GA_anc"/>
    <n v="0.11102357"/>
    <m/>
    <m/>
    <m/>
    <m/>
    <m/>
    <s v="P(GA=37 given ANC)"/>
    <m/>
    <x v="32"/>
    <x v="2"/>
    <n v="10"/>
    <x v="0"/>
    <m/>
    <m/>
    <m/>
  </r>
  <r>
    <s v="GA_anc"/>
    <n v="0.15876878"/>
    <m/>
    <m/>
    <m/>
    <m/>
    <m/>
    <s v="P(GA=38 given ANC)"/>
    <m/>
    <x v="32"/>
    <x v="2"/>
    <n v="11"/>
    <x v="0"/>
    <m/>
    <m/>
    <m/>
  </r>
  <r>
    <s v="GA_anc"/>
    <n v="0.21491916999999999"/>
    <m/>
    <m/>
    <m/>
    <m/>
    <m/>
    <s v="P(GA=39 given ANC)"/>
    <m/>
    <x v="32"/>
    <x v="2"/>
    <n v="12"/>
    <x v="0"/>
    <m/>
    <m/>
    <m/>
  </r>
  <r>
    <s v="GA_anc"/>
    <n v="0.18857196000000001"/>
    <m/>
    <m/>
    <m/>
    <m/>
    <m/>
    <s v="P(GA=40 given ANC)"/>
    <m/>
    <x v="32"/>
    <x v="2"/>
    <n v="13"/>
    <x v="0"/>
    <m/>
    <m/>
    <m/>
  </r>
  <r>
    <s v="GA_anc"/>
    <n v="0.11256843"/>
    <m/>
    <m/>
    <m/>
    <m/>
    <m/>
    <s v="P(GA=41 given ANC)"/>
    <m/>
    <x v="32"/>
    <x v="2"/>
    <n v="14"/>
    <x v="0"/>
    <m/>
    <m/>
    <m/>
  </r>
  <r>
    <s v="GA_anc"/>
    <n v="5.8343249999999999E-2"/>
    <m/>
    <m/>
    <m/>
    <m/>
    <m/>
    <s v="P(GA=42 given ANC)"/>
    <m/>
    <x v="32"/>
    <x v="2"/>
    <n v="15"/>
    <x v="0"/>
    <m/>
    <m/>
    <m/>
  </r>
  <r>
    <s v="GA_anc"/>
    <n v="2.8723189999999999E-2"/>
    <m/>
    <m/>
    <m/>
    <m/>
    <m/>
    <s v="P(GA=43 given ANC)"/>
    <m/>
    <x v="32"/>
    <x v="2"/>
    <n v="16"/>
    <x v="0"/>
    <m/>
    <m/>
    <m/>
  </r>
  <r>
    <s v="GA_anc"/>
    <n v="1.586185E-2"/>
    <m/>
    <m/>
    <m/>
    <m/>
    <m/>
    <s v="P(GA=44 given ANC)"/>
    <m/>
    <x v="32"/>
    <x v="2"/>
    <n v="17"/>
    <x v="0"/>
    <m/>
    <m/>
    <m/>
  </r>
  <r>
    <s v="GA_noanc"/>
    <n v="5.2865200000000003E-3"/>
    <m/>
    <m/>
    <m/>
    <m/>
    <m/>
    <s v="P(GA=27 given no ANC)"/>
    <m/>
    <x v="32"/>
    <x v="2"/>
    <n v="0"/>
    <x v="0"/>
    <m/>
    <m/>
    <m/>
  </r>
  <r>
    <s v="GA_noanc"/>
    <n v="2.9928200000000002E-3"/>
    <m/>
    <m/>
    <m/>
    <m/>
    <m/>
    <s v="P(GA=28 given no ANC)"/>
    <m/>
    <x v="32"/>
    <x v="2"/>
    <n v="1"/>
    <x v="0"/>
    <m/>
    <m/>
    <m/>
  </r>
  <r>
    <s v="GA_noanc"/>
    <n v="4.0845999999999999E-3"/>
    <m/>
    <m/>
    <m/>
    <m/>
    <m/>
    <s v="P(GA=29 given no ANC)"/>
    <m/>
    <x v="32"/>
    <x v="2"/>
    <n v="2"/>
    <x v="0"/>
    <m/>
    <m/>
    <m/>
  </r>
  <r>
    <s v="GA_noanc"/>
    <n v="6.0766199999999996E-3"/>
    <m/>
    <m/>
    <m/>
    <m/>
    <m/>
    <s v="P(GA=30 given no ANC)"/>
    <m/>
    <x v="32"/>
    <x v="2"/>
    <n v="3"/>
    <x v="0"/>
    <m/>
    <m/>
    <m/>
  </r>
  <r>
    <s v="GA_noanc"/>
    <n v="8.1739900000000008E-3"/>
    <m/>
    <m/>
    <m/>
    <m/>
    <m/>
    <s v="P(GA=31 given no ANC)"/>
    <m/>
    <x v="32"/>
    <x v="2"/>
    <n v="4"/>
    <x v="0"/>
    <m/>
    <m/>
    <m/>
  </r>
  <r>
    <s v="GA_noanc"/>
    <n v="1.187072E-2"/>
    <m/>
    <m/>
    <m/>
    <m/>
    <m/>
    <s v="P(GA=32 given no ANC)"/>
    <m/>
    <x v="32"/>
    <x v="2"/>
    <n v="5"/>
    <x v="0"/>
    <m/>
    <m/>
    <m/>
  </r>
  <r>
    <s v="GA_noanc"/>
    <n v="1.7162030000000002E-2"/>
    <m/>
    <m/>
    <m/>
    <m/>
    <m/>
    <s v="P(GA=33 given no ANC)"/>
    <m/>
    <x v="32"/>
    <x v="2"/>
    <n v="6"/>
    <x v="0"/>
    <m/>
    <m/>
    <m/>
  </r>
  <r>
    <s v="GA_noanc"/>
    <n v="2.7725489999999998E-2"/>
    <m/>
    <m/>
    <m/>
    <m/>
    <m/>
    <s v="P(GA=34 given no ANC)"/>
    <m/>
    <x v="32"/>
    <x v="2"/>
    <n v="7"/>
    <x v="0"/>
    <m/>
    <m/>
    <m/>
  </r>
  <r>
    <s v="GA_noanc"/>
    <n v="4.8407079999999998E-2"/>
    <m/>
    <m/>
    <m/>
    <m/>
    <m/>
    <s v="P(GA=35 given no ANC)"/>
    <m/>
    <x v="32"/>
    <x v="2"/>
    <n v="8"/>
    <x v="0"/>
    <m/>
    <m/>
    <m/>
  </r>
  <r>
    <s v="GA_noanc"/>
    <n v="7.5012060000000005E-2"/>
    <m/>
    <m/>
    <m/>
    <m/>
    <m/>
    <s v="P(GA=36 given no ANC)"/>
    <m/>
    <x v="32"/>
    <x v="2"/>
    <n v="9"/>
    <x v="0"/>
    <m/>
    <m/>
    <m/>
  </r>
  <r>
    <s v="GA_noanc"/>
    <n v="9.9085000000000006E-2"/>
    <m/>
    <m/>
    <m/>
    <m/>
    <m/>
    <s v="P(GA=37 given no ANC)"/>
    <m/>
    <x v="32"/>
    <x v="2"/>
    <n v="10"/>
    <x v="0"/>
    <m/>
    <m/>
    <m/>
  </r>
  <r>
    <s v="GA_noanc"/>
    <n v="0.14169608"/>
    <m/>
    <m/>
    <m/>
    <m/>
    <m/>
    <s v="P(GA=38 given no ANC)"/>
    <m/>
    <x v="32"/>
    <x v="2"/>
    <n v="11"/>
    <x v="0"/>
    <m/>
    <m/>
    <m/>
  </r>
  <r>
    <s v="GA_noanc"/>
    <n v="0.19180852000000001"/>
    <m/>
    <m/>
    <m/>
    <m/>
    <m/>
    <s v="P(GA=39 given no ANC)"/>
    <m/>
    <x v="32"/>
    <x v="2"/>
    <n v="12"/>
    <x v="0"/>
    <m/>
    <m/>
    <m/>
  </r>
  <r>
    <s v="GA_noanc"/>
    <n v="0.16829448"/>
    <m/>
    <m/>
    <m/>
    <m/>
    <m/>
    <s v="P(GA=40 given no ANC)"/>
    <m/>
    <x v="32"/>
    <x v="2"/>
    <n v="13"/>
    <x v="0"/>
    <m/>
    <m/>
    <m/>
  </r>
  <r>
    <s v="GA_noanc"/>
    <n v="0.10046375"/>
    <m/>
    <m/>
    <m/>
    <m/>
    <m/>
    <s v="P(GA=41 given no ANC)"/>
    <m/>
    <x v="32"/>
    <x v="2"/>
    <n v="14"/>
    <x v="0"/>
    <m/>
    <m/>
    <m/>
  </r>
  <r>
    <s v="GA_noanc"/>
    <n v="5.2069499999999998E-2"/>
    <m/>
    <m/>
    <m/>
    <m/>
    <m/>
    <s v="P(GA=42 given no ANC)"/>
    <m/>
    <x v="32"/>
    <x v="2"/>
    <n v="15"/>
    <x v="0"/>
    <m/>
    <m/>
    <m/>
  </r>
  <r>
    <s v="GA_noanc"/>
    <n v="2.5634540000000001E-2"/>
    <m/>
    <m/>
    <m/>
    <m/>
    <m/>
    <s v="P(GA=43 given no ANC)"/>
    <m/>
    <x v="32"/>
    <x v="2"/>
    <n v="16"/>
    <x v="0"/>
    <m/>
    <m/>
    <m/>
  </r>
  <r>
    <s v="GA_noanc"/>
    <n v="1.4156200000000001E-2"/>
    <m/>
    <m/>
    <m/>
    <m/>
    <m/>
    <s v="P(GA=44 given no ANC)"/>
    <m/>
    <x v="32"/>
    <x v="2"/>
    <n v="17"/>
    <x v="0"/>
    <m/>
    <m/>
    <m/>
  </r>
  <r>
    <s v="GA_sequence"/>
    <n v="27"/>
    <m/>
    <m/>
    <m/>
    <m/>
    <m/>
    <s v="GA sequence start"/>
    <m/>
    <x v="32"/>
    <x v="2"/>
    <n v="0"/>
    <x v="0"/>
    <m/>
    <m/>
    <m/>
  </r>
  <r>
    <s v="GA_sequence"/>
    <n v="28"/>
    <m/>
    <m/>
    <m/>
    <m/>
    <m/>
    <s v="GA sequence"/>
    <m/>
    <x v="32"/>
    <x v="2"/>
    <n v="1"/>
    <x v="0"/>
    <m/>
    <m/>
    <m/>
  </r>
  <r>
    <s v="GA_sequence"/>
    <n v="29"/>
    <m/>
    <m/>
    <m/>
    <m/>
    <m/>
    <s v="GA sequence"/>
    <m/>
    <x v="32"/>
    <x v="2"/>
    <n v="2"/>
    <x v="0"/>
    <m/>
    <m/>
    <m/>
  </r>
  <r>
    <s v="GA_sequence"/>
    <n v="30"/>
    <m/>
    <m/>
    <m/>
    <m/>
    <m/>
    <s v="GA sequence"/>
    <m/>
    <x v="32"/>
    <x v="2"/>
    <n v="3"/>
    <x v="0"/>
    <m/>
    <m/>
    <m/>
  </r>
  <r>
    <s v="GA_sequence"/>
    <n v="31"/>
    <m/>
    <m/>
    <m/>
    <m/>
    <m/>
    <s v="GA sequence"/>
    <m/>
    <x v="32"/>
    <x v="2"/>
    <n v="4"/>
    <x v="0"/>
    <m/>
    <m/>
    <m/>
  </r>
  <r>
    <s v="GA_sequence"/>
    <n v="32"/>
    <m/>
    <m/>
    <m/>
    <m/>
    <m/>
    <s v="GA sequence"/>
    <m/>
    <x v="32"/>
    <x v="2"/>
    <n v="5"/>
    <x v="0"/>
    <m/>
    <m/>
    <m/>
  </r>
  <r>
    <s v="GA_sequence"/>
    <n v="33"/>
    <m/>
    <m/>
    <m/>
    <m/>
    <m/>
    <s v="GA sequence"/>
    <m/>
    <x v="32"/>
    <x v="2"/>
    <n v="6"/>
    <x v="0"/>
    <m/>
    <m/>
    <m/>
  </r>
  <r>
    <s v="GA_sequence"/>
    <n v="34"/>
    <m/>
    <m/>
    <m/>
    <m/>
    <m/>
    <s v="GA sequence"/>
    <m/>
    <x v="32"/>
    <x v="2"/>
    <n v="7"/>
    <x v="0"/>
    <m/>
    <m/>
    <m/>
  </r>
  <r>
    <s v="GA_sequence"/>
    <n v="35"/>
    <m/>
    <m/>
    <m/>
    <m/>
    <m/>
    <s v="GA sequence"/>
    <m/>
    <x v="32"/>
    <x v="2"/>
    <n v="8"/>
    <x v="0"/>
    <m/>
    <m/>
    <m/>
  </r>
  <r>
    <s v="GA_sequence"/>
    <n v="36"/>
    <m/>
    <m/>
    <m/>
    <m/>
    <m/>
    <s v="GA sequence"/>
    <m/>
    <x v="32"/>
    <x v="2"/>
    <n v="9"/>
    <x v="0"/>
    <m/>
    <m/>
    <m/>
  </r>
  <r>
    <s v="GA_sequence"/>
    <n v="37"/>
    <m/>
    <m/>
    <m/>
    <m/>
    <m/>
    <s v="GA sequence"/>
    <m/>
    <x v="32"/>
    <x v="2"/>
    <n v="10"/>
    <x v="0"/>
    <m/>
    <m/>
    <m/>
  </r>
  <r>
    <s v="GA_sequence"/>
    <n v="38"/>
    <m/>
    <m/>
    <m/>
    <m/>
    <m/>
    <s v="GA sequence"/>
    <m/>
    <x v="32"/>
    <x v="2"/>
    <n v="11"/>
    <x v="0"/>
    <m/>
    <m/>
    <m/>
  </r>
  <r>
    <s v="GA_sequence"/>
    <n v="39"/>
    <m/>
    <m/>
    <m/>
    <m/>
    <m/>
    <s v="GA sequence"/>
    <m/>
    <x v="32"/>
    <x v="2"/>
    <n v="12"/>
    <x v="0"/>
    <m/>
    <m/>
    <m/>
  </r>
  <r>
    <s v="GA_sequence"/>
    <n v="40"/>
    <m/>
    <m/>
    <m/>
    <m/>
    <m/>
    <s v="GA sequence"/>
    <m/>
    <x v="32"/>
    <x v="2"/>
    <n v="13"/>
    <x v="0"/>
    <m/>
    <m/>
    <m/>
  </r>
  <r>
    <s v="GA_sequence"/>
    <n v="41"/>
    <m/>
    <m/>
    <m/>
    <m/>
    <m/>
    <s v="GA sequence"/>
    <m/>
    <x v="32"/>
    <x v="2"/>
    <n v="14"/>
    <x v="0"/>
    <m/>
    <m/>
    <m/>
  </r>
  <r>
    <s v="GA_sequence"/>
    <n v="42"/>
    <m/>
    <m/>
    <m/>
    <m/>
    <m/>
    <s v="GA sequence"/>
    <m/>
    <x v="32"/>
    <x v="2"/>
    <n v="15"/>
    <x v="0"/>
    <m/>
    <m/>
    <m/>
  </r>
  <r>
    <s v="GA_sequence"/>
    <n v="43"/>
    <m/>
    <m/>
    <m/>
    <m/>
    <m/>
    <s v="GA sequence"/>
    <m/>
    <x v="32"/>
    <x v="2"/>
    <n v="16"/>
    <x v="0"/>
    <m/>
    <m/>
    <m/>
  </r>
  <r>
    <s v="GA_sequence"/>
    <n v="44"/>
    <m/>
    <m/>
    <m/>
    <m/>
    <m/>
    <s v="GA sequence end"/>
    <m/>
    <x v="32"/>
    <x v="2"/>
    <n v="17"/>
    <x v="0"/>
    <m/>
    <m/>
    <m/>
  </r>
  <r>
    <s v="p_RDS_noT"/>
    <n v="0.9"/>
    <m/>
    <m/>
    <m/>
    <m/>
    <m/>
    <s v="P(RDS given GA=27, no treatment)"/>
    <m/>
    <x v="32"/>
    <x v="2"/>
    <n v="0"/>
    <x v="0"/>
    <m/>
    <m/>
    <m/>
  </r>
  <r>
    <s v="p_RDS_noT"/>
    <n v="0.6"/>
    <m/>
    <m/>
    <m/>
    <m/>
    <m/>
    <s v="P(RDS given GA=28, no treatment)"/>
    <m/>
    <x v="32"/>
    <x v="2"/>
    <n v="1"/>
    <x v="0"/>
    <m/>
    <m/>
    <m/>
  </r>
  <r>
    <s v="p_RDS_noT"/>
    <n v="0.6"/>
    <m/>
    <m/>
    <m/>
    <m/>
    <m/>
    <s v="P(RDS given GA=29, no treatment)"/>
    <m/>
    <x v="32"/>
    <x v="2"/>
    <n v="2"/>
    <x v="0"/>
    <m/>
    <m/>
    <m/>
  </r>
  <r>
    <s v="p_RDS_noT"/>
    <n v="0.6"/>
    <m/>
    <m/>
    <m/>
    <m/>
    <m/>
    <s v="P(RDS given GA=30, no treatment)"/>
    <m/>
    <x v="32"/>
    <x v="2"/>
    <n v="3"/>
    <x v="0"/>
    <m/>
    <m/>
    <m/>
  </r>
  <r>
    <s v="p_RDS_noT"/>
    <n v="0.6"/>
    <m/>
    <m/>
    <m/>
    <m/>
    <m/>
    <s v="P(RDS given GA=31, no treatment)"/>
    <m/>
    <x v="32"/>
    <x v="2"/>
    <n v="4"/>
    <x v="0"/>
    <m/>
    <m/>
    <m/>
  </r>
  <r>
    <s v="p_RDS_noT"/>
    <n v="0.4"/>
    <m/>
    <m/>
    <m/>
    <m/>
    <m/>
    <s v="P(RDS given GA=32, no treatment)"/>
    <m/>
    <x v="32"/>
    <x v="2"/>
    <n v="5"/>
    <x v="0"/>
    <m/>
    <m/>
    <m/>
  </r>
  <r>
    <s v="p_RDS_noT"/>
    <n v="0.4"/>
    <m/>
    <m/>
    <m/>
    <m/>
    <m/>
    <s v="P(RDS given GA=33, no treatment)"/>
    <m/>
    <x v="32"/>
    <x v="2"/>
    <n v="6"/>
    <x v="0"/>
    <m/>
    <m/>
    <m/>
  </r>
  <r>
    <s v="p_RDS_noT"/>
    <n v="0.4"/>
    <m/>
    <m/>
    <m/>
    <m/>
    <m/>
    <s v="P(RDS given GA=34, no treatment)"/>
    <m/>
    <x v="32"/>
    <x v="2"/>
    <n v="7"/>
    <x v="0"/>
    <m/>
    <m/>
    <m/>
  </r>
  <r>
    <s v="p_RDS_noT"/>
    <n v="0.2"/>
    <m/>
    <m/>
    <m/>
    <m/>
    <m/>
    <s v="P(RDS given GA=35, no treatment)"/>
    <m/>
    <x v="32"/>
    <x v="2"/>
    <n v="8"/>
    <x v="0"/>
    <m/>
    <m/>
    <m/>
  </r>
  <r>
    <s v="p_RDS_noT"/>
    <n v="0.2"/>
    <m/>
    <m/>
    <m/>
    <m/>
    <m/>
    <s v="P(RDS given GA=36, no treatment)"/>
    <m/>
    <x v="32"/>
    <x v="2"/>
    <n v="9"/>
    <x v="0"/>
    <m/>
    <m/>
    <m/>
  </r>
  <r>
    <s v="p_RDS_noT"/>
    <n v="0"/>
    <m/>
    <m/>
    <m/>
    <m/>
    <m/>
    <s v="P(RDS given GA=37, no treatment)"/>
    <m/>
    <x v="32"/>
    <x v="2"/>
    <n v="10"/>
    <x v="0"/>
    <m/>
    <m/>
    <m/>
  </r>
  <r>
    <s v="p_RDS_noT"/>
    <n v="0"/>
    <m/>
    <m/>
    <m/>
    <m/>
    <m/>
    <s v="P(RDS given GA=38, no treatment)"/>
    <m/>
    <x v="32"/>
    <x v="2"/>
    <n v="11"/>
    <x v="0"/>
    <m/>
    <m/>
    <m/>
  </r>
  <r>
    <s v="p_RDS_noT"/>
    <n v="0"/>
    <m/>
    <m/>
    <m/>
    <m/>
    <m/>
    <s v="P(RDS given GA=39, no treatment)"/>
    <m/>
    <x v="32"/>
    <x v="2"/>
    <n v="12"/>
    <x v="0"/>
    <m/>
    <m/>
    <m/>
  </r>
  <r>
    <s v="p_RDS_noT"/>
    <n v="0"/>
    <m/>
    <m/>
    <m/>
    <m/>
    <m/>
    <s v="P(RDS given GA=40, no treatment)"/>
    <m/>
    <x v="32"/>
    <x v="2"/>
    <n v="13"/>
    <x v="0"/>
    <m/>
    <m/>
    <m/>
  </r>
  <r>
    <s v="p_RDS_noT"/>
    <n v="0"/>
    <m/>
    <m/>
    <m/>
    <m/>
    <m/>
    <s v="P(RDS given GA=41, no treatment)"/>
    <m/>
    <x v="32"/>
    <x v="2"/>
    <n v="14"/>
    <x v="0"/>
    <m/>
    <m/>
    <m/>
  </r>
  <r>
    <s v="p_RDS_noT"/>
    <n v="0"/>
    <m/>
    <m/>
    <m/>
    <m/>
    <m/>
    <s v="P(RDS given GA=42, no treatment)"/>
    <m/>
    <x v="32"/>
    <x v="2"/>
    <n v="15"/>
    <x v="0"/>
    <m/>
    <m/>
    <m/>
  </r>
  <r>
    <s v="p_RDS_noT"/>
    <n v="0"/>
    <m/>
    <m/>
    <m/>
    <m/>
    <m/>
    <s v="P(RDS given GA=43, no treatment)"/>
    <m/>
    <x v="32"/>
    <x v="2"/>
    <n v="16"/>
    <x v="0"/>
    <m/>
    <m/>
    <m/>
  </r>
  <r>
    <s v="p_RDS_noT"/>
    <n v="0"/>
    <m/>
    <m/>
    <m/>
    <m/>
    <m/>
    <s v="P(RDS given GA=44, no treatment)"/>
    <m/>
    <x v="32"/>
    <x v="2"/>
    <n v="17"/>
    <x v="0"/>
    <m/>
    <m/>
    <m/>
  </r>
  <r>
    <s v="D_RDS"/>
    <n v="0.39700000000000002"/>
    <m/>
    <m/>
    <m/>
    <m/>
    <m/>
    <s v="P(death given RDS, GA&lt;32)"/>
    <s v="one array"/>
    <x v="32"/>
    <x v="2"/>
    <n v="0"/>
    <x v="0"/>
    <m/>
    <m/>
    <m/>
  </r>
  <r>
    <s v="D_RDS"/>
    <n v="0.2"/>
    <m/>
    <m/>
    <m/>
    <m/>
    <m/>
    <s v="P(death given RDS, GA&gt;=32)"/>
    <s v="one array"/>
    <x v="32"/>
    <x v="2"/>
    <n v="1"/>
    <x v="0"/>
    <m/>
    <m/>
    <m/>
  </r>
  <r>
    <s v="E_GA_US"/>
    <n v="5.7000000000000002E-2"/>
    <m/>
    <m/>
    <m/>
    <m/>
    <m/>
    <s v="GA ultrasound error SD"/>
    <m/>
    <x v="32"/>
    <x v="2"/>
    <n v="0"/>
    <x v="0"/>
    <m/>
    <m/>
    <m/>
  </r>
  <r>
    <s v="E_GA_US"/>
    <n v="0.72899999999999998"/>
    <m/>
    <m/>
    <m/>
    <m/>
    <m/>
    <s v="GA ultrasound error mean"/>
    <m/>
    <x v="32"/>
    <x v="2"/>
    <n v="1"/>
    <x v="0"/>
    <m/>
    <m/>
    <m/>
  </r>
  <r>
    <s v="1st_stage_time_normal"/>
    <n v="278"/>
    <m/>
    <m/>
    <m/>
    <m/>
    <m/>
    <s v="1st stage duration mean (minutes) for normal delivery"/>
    <m/>
    <x v="32"/>
    <x v="2"/>
    <n v="0"/>
    <x v="0"/>
    <m/>
    <m/>
    <m/>
  </r>
  <r>
    <s v="1st_stage_time_normal"/>
    <n v="80"/>
    <m/>
    <m/>
    <m/>
    <m/>
    <m/>
    <s v="1st stage duration SD (minutes) for normal delivery"/>
    <m/>
    <x v="32"/>
    <x v="2"/>
    <n v="1"/>
    <x v="0"/>
    <m/>
    <m/>
    <m/>
  </r>
  <r>
    <s v="2nd_stage_time_normal"/>
    <n v="37.26"/>
    <m/>
    <m/>
    <m/>
    <m/>
    <m/>
    <s v="2nd stage duration mean (minutes) for normal delivery"/>
    <m/>
    <x v="32"/>
    <x v="2"/>
    <n v="0"/>
    <x v="0"/>
    <m/>
    <m/>
    <m/>
  </r>
  <r>
    <s v="2nd_stage_time_normal"/>
    <n v="14"/>
    <m/>
    <m/>
    <m/>
    <m/>
    <m/>
    <s v="2nd stage duration SD (minutes) for normal delivery"/>
    <m/>
    <x v="32"/>
    <x v="2"/>
    <n v="1"/>
    <x v="0"/>
    <m/>
    <m/>
    <m/>
  </r>
  <r>
    <s v="1st_stage_time_abnormal"/>
    <n v="468"/>
    <m/>
    <m/>
    <m/>
    <m/>
    <m/>
    <s v="1st stage duration mean (minutes) for abnormal delivery"/>
    <m/>
    <x v="32"/>
    <x v="2"/>
    <n v="0"/>
    <x v="0"/>
    <m/>
    <m/>
    <m/>
  </r>
  <r>
    <s v="1st_stage_time_abnormal"/>
    <n v="167"/>
    <m/>
    <m/>
    <m/>
    <m/>
    <m/>
    <s v="1st stage duration SD (minutes) for abnormal delivery"/>
    <m/>
    <x v="32"/>
    <x v="2"/>
    <n v="1"/>
    <x v="0"/>
    <m/>
    <m/>
    <m/>
  </r>
  <r>
    <s v="2nd_stage_time_abnormal"/>
    <n v="86"/>
    <m/>
    <m/>
    <m/>
    <m/>
    <m/>
    <s v="2nd stage duration mean (minutes) for abnormal delivery"/>
    <m/>
    <x v="32"/>
    <x v="2"/>
    <n v="0"/>
    <x v="0"/>
    <m/>
    <m/>
    <m/>
  </r>
  <r>
    <s v="2nd_stage_time_abnormal"/>
    <n v="49"/>
    <m/>
    <m/>
    <m/>
    <m/>
    <m/>
    <s v="2nd stage duration SD (minutes) for abnormal delivery"/>
    <m/>
    <x v="32"/>
    <x v="2"/>
    <n v="1"/>
    <x v="0"/>
    <m/>
    <m/>
    <m/>
  </r>
  <r>
    <s v="n_population"/>
    <n v="1867283"/>
    <m/>
    <m/>
    <m/>
    <s v="fixed"/>
    <m/>
    <s v="County population"/>
    <m/>
    <x v="33"/>
    <x v="3"/>
    <m/>
    <x v="1"/>
    <m/>
    <m/>
    <m/>
  </r>
  <r>
    <s v="n_population"/>
    <n v="1266860"/>
    <m/>
    <m/>
    <m/>
    <s v="fixed"/>
    <m/>
    <s v="County population"/>
    <m/>
    <x v="32"/>
    <x v="3"/>
    <m/>
    <x v="2"/>
    <m/>
    <m/>
    <m/>
  </r>
  <r>
    <s v="n_population"/>
    <n v="987653"/>
    <m/>
    <m/>
    <m/>
    <s v="fixed"/>
    <m/>
    <s v="County population"/>
    <m/>
    <x v="32"/>
    <x v="3"/>
    <m/>
    <x v="3"/>
    <m/>
    <m/>
    <m/>
  </r>
  <r>
    <s v="n_population"/>
    <n v="1208333"/>
    <m/>
    <m/>
    <m/>
    <s v="fixed"/>
    <m/>
    <s v="County population"/>
    <m/>
    <x v="32"/>
    <x v="3"/>
    <m/>
    <x v="4"/>
    <m/>
    <m/>
    <m/>
  </r>
  <r>
    <s v="n_CHV"/>
    <n v="5040"/>
    <m/>
    <m/>
    <m/>
    <s v="fixed"/>
    <m/>
    <s v="Number of CHVs"/>
    <s v="unused - do not need at this time"/>
    <x v="34"/>
    <x v="3"/>
    <m/>
    <x v="1"/>
    <m/>
    <m/>
    <m/>
  </r>
  <r>
    <s v="n_CHV"/>
    <m/>
    <m/>
    <m/>
    <m/>
    <s v="fixed"/>
    <m/>
    <s v="Number of CHVs"/>
    <s v="unused - do not need at this time"/>
    <x v="34"/>
    <x v="3"/>
    <m/>
    <x v="2"/>
    <m/>
    <m/>
    <m/>
  </r>
  <r>
    <s v="n_CHV"/>
    <m/>
    <m/>
    <m/>
    <m/>
    <s v="fixed"/>
    <m/>
    <s v="Number of CHVs"/>
    <s v="unused - do not need at this time"/>
    <x v="34"/>
    <x v="3"/>
    <m/>
    <x v="3"/>
    <m/>
    <m/>
    <m/>
  </r>
  <r>
    <s v="n_CHV"/>
    <m/>
    <m/>
    <m/>
    <m/>
    <s v="fixed"/>
    <m/>
    <s v="Number of CHVs"/>
    <s v="unused - do not need at this time"/>
    <x v="34"/>
    <x v="3"/>
    <m/>
    <x v="4"/>
    <m/>
    <m/>
    <m/>
  </r>
  <r>
    <s v="p_highrisk"/>
    <n v="0.26"/>
    <n v="0.247"/>
    <n v="0.27300000000000002"/>
    <n v="4419"/>
    <s v="proportion"/>
    <m/>
    <s v="P(high risk pregnancy)"/>
    <s v="source includes Kakamega &amp; Kisumu"/>
    <x v="35"/>
    <x v="3"/>
    <m/>
    <x v="1"/>
    <m/>
    <m/>
    <m/>
  </r>
  <r>
    <s v="p_highrisk"/>
    <m/>
    <m/>
    <m/>
    <m/>
    <s v="proportion"/>
    <m/>
    <s v="P(high risk pregnancy)"/>
    <m/>
    <x v="32"/>
    <x v="3"/>
    <m/>
    <x v="2"/>
    <m/>
    <m/>
    <m/>
  </r>
  <r>
    <s v="p_highrisk"/>
    <m/>
    <m/>
    <m/>
    <m/>
    <s v="proportion"/>
    <m/>
    <s v="P(high risk pregnancy)"/>
    <m/>
    <x v="32"/>
    <x v="3"/>
    <m/>
    <x v="3"/>
    <m/>
    <m/>
    <m/>
  </r>
  <r>
    <s v="p_highrisk"/>
    <m/>
    <m/>
    <m/>
    <m/>
    <s v="proportion"/>
    <m/>
    <s v="P(high risk pregnancy)"/>
    <m/>
    <x v="32"/>
    <x v="3"/>
    <m/>
    <x v="4"/>
    <m/>
    <m/>
    <m/>
  </r>
  <r>
    <s v="p_ANC_base"/>
    <n v="0.56000000000000005"/>
    <n v="0.49399999999999999"/>
    <n v="0.626"/>
    <n v="216"/>
    <s v="proportion"/>
    <m/>
    <s v="P(4+ ANC visits)"/>
    <m/>
    <x v="36"/>
    <x v="3"/>
    <m/>
    <x v="1"/>
    <m/>
    <m/>
    <m/>
  </r>
  <r>
    <s v="p_ANC_base"/>
    <n v="0.55000000000000004"/>
    <m/>
    <m/>
    <m/>
    <s v="proportion"/>
    <m/>
    <s v="P(4+ ANC visits)"/>
    <s v="Sheet: ANC 4+ Rate_Biannual (KHIS data 4+ Mums 2025 Q1)"/>
    <x v="37"/>
    <x v="3"/>
    <m/>
    <x v="2"/>
    <m/>
    <m/>
    <m/>
  </r>
  <r>
    <s v="p_ANC_base"/>
    <n v="0.74"/>
    <m/>
    <m/>
    <m/>
    <s v="proportion"/>
    <m/>
    <s v="P(4+ ANC visits)"/>
    <s v="Sheet: ANC 4+ Rate_Biannual (KHIS data 4+ Mums 2025 Q1)"/>
    <x v="38"/>
    <x v="3"/>
    <m/>
    <x v="3"/>
    <m/>
    <m/>
    <m/>
  </r>
  <r>
    <s v="p_ANC_base"/>
    <n v="0.69"/>
    <m/>
    <m/>
    <m/>
    <s v="proportion"/>
    <m/>
    <s v="P(4+ ANC visits)"/>
    <s v="Sheet: ANC 4+ Rate_Biannual (KHIS data 4+ Mums 2025 Q1)"/>
    <x v="39"/>
    <x v="3"/>
    <m/>
    <x v="4"/>
    <m/>
    <m/>
    <m/>
  </r>
  <r>
    <s v="class"/>
    <n v="0.57199999999999995"/>
    <n v="0.50600000000000001"/>
    <n v="0.63800000000000001"/>
    <n v="216"/>
    <s v="proportion"/>
    <m/>
    <s v="Wealth/education class proxy"/>
    <m/>
    <x v="36"/>
    <x v="3"/>
    <m/>
    <x v="1"/>
    <m/>
    <m/>
    <m/>
  </r>
  <r>
    <s v="class"/>
    <m/>
    <m/>
    <m/>
    <m/>
    <s v="proportion"/>
    <m/>
    <s v="Wealth/education class proxy"/>
    <m/>
    <x v="32"/>
    <x v="3"/>
    <m/>
    <x v="2"/>
    <m/>
    <m/>
    <m/>
  </r>
  <r>
    <s v="class"/>
    <m/>
    <m/>
    <m/>
    <m/>
    <s v="proportion"/>
    <m/>
    <s v="Wealth/education class proxy"/>
    <m/>
    <x v="32"/>
    <x v="3"/>
    <m/>
    <x v="3"/>
    <m/>
    <m/>
    <m/>
  </r>
  <r>
    <s v="class"/>
    <m/>
    <m/>
    <m/>
    <m/>
    <s v="proportion"/>
    <m/>
    <s v="Wealth/education class proxy"/>
    <m/>
    <x v="32"/>
    <x v="3"/>
    <m/>
    <x v="4"/>
    <m/>
    <m/>
    <m/>
  </r>
  <r>
    <s v="close_to_L23"/>
    <n v="0.89"/>
    <n v="0.88600000000000001"/>
    <n v="0.89400000000000002"/>
    <n v="19127"/>
    <s v="proportion"/>
    <m/>
    <s v="P(closest facility is L2/3)"/>
    <s v="source includes Kakamega"/>
    <x v="40"/>
    <x v="3"/>
    <m/>
    <x v="1"/>
    <m/>
    <m/>
    <m/>
  </r>
  <r>
    <s v="close_to_L23"/>
    <m/>
    <m/>
    <m/>
    <m/>
    <s v="proportion"/>
    <m/>
    <s v="P(closest facility is L2/3)"/>
    <m/>
    <x v="32"/>
    <x v="3"/>
    <m/>
    <x v="2"/>
    <m/>
    <m/>
    <m/>
  </r>
  <r>
    <s v="close_to_L23"/>
    <m/>
    <m/>
    <m/>
    <m/>
    <s v="proportion"/>
    <m/>
    <s v="P(closest facility is L2/3)"/>
    <m/>
    <x v="32"/>
    <x v="3"/>
    <m/>
    <x v="3"/>
    <m/>
    <m/>
    <m/>
  </r>
  <r>
    <s v="close_to_L23"/>
    <m/>
    <m/>
    <m/>
    <m/>
    <s v="proportion"/>
    <m/>
    <s v="P(closest facility is L2/3)"/>
    <m/>
    <x v="32"/>
    <x v="3"/>
    <m/>
    <x v="4"/>
    <m/>
    <m/>
    <m/>
  </r>
  <r>
    <s v="base_knowledge_L23"/>
    <n v="0.54"/>
    <n v="0.41899999999999998"/>
    <n v="0.66100000000000003"/>
    <n v="65"/>
    <s v="proportion"/>
    <m/>
    <s v="HCW knowledge score at L2/3"/>
    <s v="source includes Kakamega"/>
    <x v="41"/>
    <x v="3"/>
    <m/>
    <x v="1"/>
    <m/>
    <m/>
    <m/>
  </r>
  <r>
    <s v="base_knowledge_L23"/>
    <m/>
    <m/>
    <m/>
    <m/>
    <s v="proportion"/>
    <m/>
    <s v="HCW knowledge score at L2/3"/>
    <m/>
    <x v="42"/>
    <x v="3"/>
    <m/>
    <x v="2"/>
    <m/>
    <m/>
    <m/>
  </r>
  <r>
    <s v="base_knowledge_L23"/>
    <m/>
    <m/>
    <m/>
    <m/>
    <s v="proportion"/>
    <m/>
    <s v="HCW knowledge score at L2/3"/>
    <m/>
    <x v="42"/>
    <x v="3"/>
    <m/>
    <x v="3"/>
    <m/>
    <m/>
    <m/>
  </r>
  <r>
    <s v="base_knowledge_L23"/>
    <m/>
    <m/>
    <m/>
    <m/>
    <s v="proportion"/>
    <m/>
    <s v="HCW knowledge score at L2/3"/>
    <m/>
    <x v="42"/>
    <x v="3"/>
    <m/>
    <x v="4"/>
    <m/>
    <m/>
    <m/>
  </r>
  <r>
    <s v="base_knowledge_L45"/>
    <n v="0.6"/>
    <n v="0.496"/>
    <n v="0.70399999999999996"/>
    <n v="86"/>
    <s v="proportion"/>
    <m/>
    <s v="HCW knowledge score at L4/5"/>
    <s v="source includes Kakamega"/>
    <x v="41"/>
    <x v="3"/>
    <m/>
    <x v="1"/>
    <m/>
    <m/>
    <m/>
  </r>
  <r>
    <s v="base_knowledge_L45"/>
    <m/>
    <m/>
    <m/>
    <m/>
    <s v="proportion"/>
    <m/>
    <s v="HCW knowledge score at L4/5"/>
    <m/>
    <x v="42"/>
    <x v="3"/>
    <m/>
    <x v="2"/>
    <m/>
    <m/>
    <m/>
  </r>
  <r>
    <s v="base_knowledge_L45"/>
    <m/>
    <m/>
    <m/>
    <m/>
    <s v="proportion"/>
    <m/>
    <s v="HCW knowledge score at L4/5"/>
    <m/>
    <x v="42"/>
    <x v="3"/>
    <m/>
    <x v="3"/>
    <m/>
    <m/>
    <m/>
  </r>
  <r>
    <s v="base_knowledge_L45"/>
    <m/>
    <m/>
    <m/>
    <m/>
    <s v="proportion"/>
    <m/>
    <s v="HCW knowledge score at L4/5"/>
    <m/>
    <x v="42"/>
    <x v="3"/>
    <m/>
    <x v="4"/>
    <m/>
    <m/>
    <m/>
  </r>
  <r>
    <s v="Capacity"/>
    <n v="2898.08"/>
    <m/>
    <m/>
    <m/>
    <s v="fixed"/>
    <m/>
    <s v="Monthly L4/5 capacity (34777/12)"/>
    <s v="source includes Kakamega"/>
    <x v="41"/>
    <x v="3"/>
    <m/>
    <x v="1"/>
    <m/>
    <m/>
    <m/>
  </r>
  <r>
    <s v="Capacity"/>
    <m/>
    <m/>
    <m/>
    <m/>
    <s v="fixed"/>
    <m/>
    <s v="Monthly L4/5 capacity"/>
    <m/>
    <x v="32"/>
    <x v="3"/>
    <m/>
    <x v="2"/>
    <m/>
    <m/>
    <m/>
  </r>
  <r>
    <s v="Capacity"/>
    <m/>
    <m/>
    <m/>
    <m/>
    <s v="fixed"/>
    <m/>
    <s v="Monthly L4/5 capacity"/>
    <m/>
    <x v="32"/>
    <x v="3"/>
    <m/>
    <x v="3"/>
    <m/>
    <m/>
    <m/>
  </r>
  <r>
    <s v="Capacity"/>
    <m/>
    <m/>
    <m/>
    <m/>
    <s v="fixed"/>
    <m/>
    <s v="Monthly L4/5 capacity"/>
    <m/>
    <x v="32"/>
    <x v="3"/>
    <m/>
    <x v="4"/>
    <m/>
    <m/>
    <m/>
  </r>
  <r>
    <s v="home_noANC"/>
    <n v="0.70599999999999996"/>
    <m/>
    <m/>
    <m/>
    <m/>
    <m/>
    <s v="P(home delivery given no ANC)"/>
    <m/>
    <x v="43"/>
    <x v="4"/>
    <m/>
    <x v="1"/>
    <m/>
    <m/>
    <m/>
  </r>
  <r>
    <s v="home_noANC"/>
    <m/>
    <m/>
    <m/>
    <m/>
    <m/>
    <m/>
    <s v="P(home delivery given no ANC)"/>
    <m/>
    <x v="32"/>
    <x v="4"/>
    <m/>
    <x v="2"/>
    <m/>
    <m/>
    <m/>
  </r>
  <r>
    <s v="home_noANC"/>
    <m/>
    <m/>
    <m/>
    <m/>
    <m/>
    <m/>
    <s v="P(home delivery given no ANC)"/>
    <m/>
    <x v="32"/>
    <x v="4"/>
    <m/>
    <x v="3"/>
    <m/>
    <m/>
    <m/>
  </r>
  <r>
    <s v="home_noANC"/>
    <m/>
    <m/>
    <m/>
    <m/>
    <m/>
    <m/>
    <s v="P(home delivery given no ANC)"/>
    <m/>
    <x v="32"/>
    <x v="4"/>
    <m/>
    <x v="4"/>
    <m/>
    <m/>
    <m/>
  </r>
  <r>
    <s v="l45_fac"/>
    <n v="0.11"/>
    <m/>
    <m/>
    <m/>
    <m/>
    <m/>
    <s v="P(L4/5 given facility, no ANC)"/>
    <m/>
    <x v="43"/>
    <x v="4"/>
    <m/>
    <x v="1"/>
    <m/>
    <m/>
    <m/>
  </r>
  <r>
    <s v="l45_fac"/>
    <m/>
    <m/>
    <m/>
    <m/>
    <m/>
    <m/>
    <s v="P(L4/5 given facility, no ANC)"/>
    <m/>
    <x v="32"/>
    <x v="4"/>
    <m/>
    <x v="2"/>
    <m/>
    <m/>
    <m/>
  </r>
  <r>
    <s v="l45_fac"/>
    <m/>
    <m/>
    <m/>
    <m/>
    <m/>
    <m/>
    <s v="P(L4/5 given facility, no ANC)"/>
    <m/>
    <x v="32"/>
    <x v="4"/>
    <m/>
    <x v="3"/>
    <m/>
    <m/>
    <m/>
  </r>
  <r>
    <s v="l45_fac"/>
    <m/>
    <m/>
    <m/>
    <m/>
    <m/>
    <m/>
    <s v="P(L4/5 given facility, no ANC)"/>
    <m/>
    <x v="32"/>
    <x v="4"/>
    <m/>
    <x v="4"/>
    <m/>
    <m/>
    <m/>
  </r>
  <r>
    <s v="home_lowrisk"/>
    <n v="0.16919999999999999"/>
    <m/>
    <m/>
    <m/>
    <m/>
    <m/>
    <s v="P(home given low risk)"/>
    <m/>
    <x v="43"/>
    <x v="4"/>
    <m/>
    <x v="1"/>
    <m/>
    <m/>
    <m/>
  </r>
  <r>
    <s v="home_lowrisk"/>
    <m/>
    <m/>
    <m/>
    <m/>
    <m/>
    <m/>
    <s v="P(home given low risk)"/>
    <m/>
    <x v="32"/>
    <x v="4"/>
    <m/>
    <x v="2"/>
    <m/>
    <m/>
    <m/>
  </r>
  <r>
    <s v="home_lowrisk"/>
    <m/>
    <m/>
    <m/>
    <m/>
    <m/>
    <m/>
    <s v="P(home given low risk)"/>
    <m/>
    <x v="32"/>
    <x v="4"/>
    <m/>
    <x v="3"/>
    <m/>
    <m/>
    <m/>
  </r>
  <r>
    <s v="home_lowrisk"/>
    <m/>
    <m/>
    <m/>
    <m/>
    <m/>
    <m/>
    <s v="P(home given low risk)"/>
    <m/>
    <x v="32"/>
    <x v="4"/>
    <m/>
    <x v="4"/>
    <m/>
    <m/>
    <m/>
  </r>
  <r>
    <s v="L23_highrisk"/>
    <n v="0.32550000000000001"/>
    <m/>
    <m/>
    <m/>
    <m/>
    <m/>
    <s v="P(L2/3 given high risk)"/>
    <m/>
    <x v="43"/>
    <x v="4"/>
    <m/>
    <x v="1"/>
    <m/>
    <m/>
    <m/>
  </r>
  <r>
    <s v="L23_highrisk"/>
    <m/>
    <m/>
    <m/>
    <m/>
    <m/>
    <m/>
    <s v="P(L2/3 given high risk)"/>
    <m/>
    <x v="32"/>
    <x v="4"/>
    <m/>
    <x v="2"/>
    <m/>
    <m/>
    <m/>
  </r>
  <r>
    <s v="L23_highrisk"/>
    <m/>
    <m/>
    <m/>
    <m/>
    <m/>
    <m/>
    <s v="P(L2/3 given high risk)"/>
    <m/>
    <x v="32"/>
    <x v="4"/>
    <m/>
    <x v="3"/>
    <m/>
    <m/>
    <m/>
  </r>
  <r>
    <s v="L23_highrisk"/>
    <m/>
    <m/>
    <m/>
    <m/>
    <m/>
    <m/>
    <s v="P(L2/3 given high risk)"/>
    <m/>
    <x v="32"/>
    <x v="4"/>
    <m/>
    <x v="4"/>
    <m/>
    <m/>
    <m/>
  </r>
  <r>
    <s v="sen_risk_trad"/>
    <n v="0.7641"/>
    <m/>
    <m/>
    <m/>
    <m/>
    <m/>
    <s v="Sensitivity traditional risk detection"/>
    <m/>
    <x v="43"/>
    <x v="4"/>
    <m/>
    <x v="1"/>
    <m/>
    <m/>
    <m/>
  </r>
  <r>
    <s v="sen_risk_trad"/>
    <m/>
    <m/>
    <m/>
    <m/>
    <m/>
    <m/>
    <s v="Sensitivity traditional risk detection"/>
    <m/>
    <x v="32"/>
    <x v="4"/>
    <m/>
    <x v="2"/>
    <m/>
    <m/>
    <m/>
  </r>
  <r>
    <s v="sen_risk_trad"/>
    <m/>
    <m/>
    <m/>
    <m/>
    <m/>
    <m/>
    <s v="Sensitivity traditional risk detection"/>
    <m/>
    <x v="32"/>
    <x v="4"/>
    <m/>
    <x v="3"/>
    <m/>
    <m/>
    <m/>
  </r>
  <r>
    <s v="sen_risk_trad"/>
    <m/>
    <m/>
    <m/>
    <m/>
    <m/>
    <m/>
    <s v="Sensitivity traditional risk detection"/>
    <m/>
    <x v="32"/>
    <x v="4"/>
    <m/>
    <x v="4"/>
    <m/>
    <m/>
    <m/>
  </r>
  <r>
    <s v="spec_risk_trad"/>
    <n v="0.63060000000000005"/>
    <m/>
    <m/>
    <m/>
    <m/>
    <m/>
    <s v="Specificity traditional risk detection"/>
    <m/>
    <x v="43"/>
    <x v="4"/>
    <m/>
    <x v="1"/>
    <m/>
    <m/>
    <m/>
  </r>
  <r>
    <s v="spec_risk_trad"/>
    <m/>
    <m/>
    <m/>
    <m/>
    <m/>
    <m/>
    <s v="Specificity traditional risk detection"/>
    <m/>
    <x v="32"/>
    <x v="4"/>
    <m/>
    <x v="2"/>
    <m/>
    <m/>
    <m/>
  </r>
  <r>
    <s v="spec_risk_trad"/>
    <m/>
    <m/>
    <m/>
    <m/>
    <m/>
    <m/>
    <s v="Specificity traditional risk detection"/>
    <m/>
    <x v="32"/>
    <x v="4"/>
    <m/>
    <x v="3"/>
    <m/>
    <m/>
    <m/>
  </r>
  <r>
    <s v="spec_risk_trad"/>
    <m/>
    <m/>
    <m/>
    <m/>
    <m/>
    <m/>
    <s v="Specificity traditional risk detection"/>
    <m/>
    <x v="32"/>
    <x v="4"/>
    <m/>
    <x v="4"/>
    <m/>
    <m/>
    <m/>
  </r>
  <r>
    <s v="PT_scale"/>
    <n v="0.82509999999999994"/>
    <m/>
    <m/>
    <m/>
    <m/>
    <m/>
    <s v="Preterm scaling factor"/>
    <m/>
    <x v="44"/>
    <x v="4"/>
    <m/>
    <x v="1"/>
    <m/>
    <m/>
    <m/>
  </r>
  <r>
    <s v="PT_scale"/>
    <m/>
    <m/>
    <m/>
    <m/>
    <m/>
    <m/>
    <s v="Preterm scaling factor"/>
    <m/>
    <x v="32"/>
    <x v="4"/>
    <m/>
    <x v="2"/>
    <m/>
    <m/>
    <m/>
  </r>
  <r>
    <s v="PT_scale"/>
    <m/>
    <m/>
    <m/>
    <m/>
    <m/>
    <m/>
    <s v="Preterm scaling factor"/>
    <m/>
    <x v="32"/>
    <x v="4"/>
    <m/>
    <x v="3"/>
    <m/>
    <m/>
    <m/>
  </r>
  <r>
    <s v="PT_scale"/>
    <m/>
    <m/>
    <m/>
    <m/>
    <m/>
    <m/>
    <s v="Preterm scaling factor"/>
    <m/>
    <x v="32"/>
    <x v="4"/>
    <m/>
    <x v="4"/>
    <m/>
    <m/>
    <m/>
  </r>
  <r>
    <s v="p_elec_CS|highrisk"/>
    <n v="6.4199999999999993E-2"/>
    <m/>
    <m/>
    <m/>
    <m/>
    <m/>
    <s v="P(elective CS given high risk)"/>
    <m/>
    <x v="45"/>
    <x v="4"/>
    <m/>
    <x v="1"/>
    <m/>
    <m/>
    <m/>
  </r>
  <r>
    <s v="p_elec_CS|highrisk"/>
    <m/>
    <m/>
    <m/>
    <m/>
    <m/>
    <m/>
    <s v="P(elective CS given high risk)"/>
    <m/>
    <x v="32"/>
    <x v="4"/>
    <m/>
    <x v="2"/>
    <m/>
    <m/>
    <m/>
  </r>
  <r>
    <s v="p_elec_CS|highrisk"/>
    <m/>
    <m/>
    <m/>
    <m/>
    <m/>
    <m/>
    <s v="P(elective CS given high risk)"/>
    <m/>
    <x v="32"/>
    <x v="4"/>
    <m/>
    <x v="3"/>
    <m/>
    <m/>
    <m/>
  </r>
  <r>
    <s v="p_elec_CS|highrisk"/>
    <m/>
    <m/>
    <m/>
    <m/>
    <m/>
    <m/>
    <s v="P(elective CS given high risk)"/>
    <m/>
    <x v="32"/>
    <x v="4"/>
    <m/>
    <x v="4"/>
    <m/>
    <m/>
    <m/>
  </r>
  <r>
    <s v="p_elec_CS|preterm"/>
    <n v="0.77990000000000004"/>
    <m/>
    <m/>
    <m/>
    <m/>
    <m/>
    <s v="P(elective CS given preterm)"/>
    <s v="from tingting: p_elec_CS|preterm is unknown parameter, which is calibrated, so from the python code, I firstly let predicted high-risk mothers have CS, then let other predicted preterm mothers have CS, so it is given preterm but NOT high risk. But you do not need to really care about the definition as its value will be found during calibration process, not by literature"/>
    <x v="45"/>
    <x v="4"/>
    <m/>
    <x v="1"/>
    <m/>
    <m/>
    <m/>
  </r>
  <r>
    <s v="p_elec_CS|preterm"/>
    <m/>
    <m/>
    <m/>
    <m/>
    <m/>
    <m/>
    <s v="P(elective CS given preterm)"/>
    <m/>
    <x v="32"/>
    <x v="4"/>
    <m/>
    <x v="2"/>
    <m/>
    <m/>
    <m/>
  </r>
  <r>
    <s v="p_elec_CS|preterm"/>
    <m/>
    <m/>
    <m/>
    <m/>
    <m/>
    <m/>
    <s v="P(elective CS given preterm)"/>
    <m/>
    <x v="32"/>
    <x v="4"/>
    <m/>
    <x v="3"/>
    <m/>
    <m/>
    <m/>
  </r>
  <r>
    <s v="p_elec_CS|preterm"/>
    <m/>
    <m/>
    <m/>
    <m/>
    <m/>
    <m/>
    <s v="P(elective CS given preterm)"/>
    <m/>
    <x v="32"/>
    <x v="4"/>
    <m/>
    <x v="4"/>
    <m/>
    <m/>
    <m/>
  </r>
  <r>
    <s v="p_elec_CS|highrisk_us"/>
    <n v="0.35"/>
    <m/>
    <m/>
    <m/>
    <m/>
    <m/>
    <s v="P(elective CS given high risk by US)"/>
    <s v="not used at this time"/>
    <x v="46"/>
    <x v="4"/>
    <m/>
    <x v="1"/>
    <m/>
    <m/>
    <m/>
  </r>
  <r>
    <s v="p_elec_CS|highrisk_us"/>
    <m/>
    <m/>
    <m/>
    <m/>
    <m/>
    <m/>
    <s v="P(elective CS given high risk by US)"/>
    <s v="not used at this time"/>
    <x v="46"/>
    <x v="4"/>
    <m/>
    <x v="2"/>
    <m/>
    <m/>
    <m/>
  </r>
  <r>
    <s v="p_elec_CS|highrisk_us"/>
    <m/>
    <m/>
    <m/>
    <m/>
    <m/>
    <m/>
    <s v="P(elective CS given high risk by US)"/>
    <s v="not used at this time"/>
    <x v="46"/>
    <x v="4"/>
    <m/>
    <x v="3"/>
    <m/>
    <m/>
    <m/>
  </r>
  <r>
    <s v="p_elec_CS|highrisk_us"/>
    <m/>
    <m/>
    <m/>
    <m/>
    <m/>
    <m/>
    <s v="P(elective CS given high risk by US)"/>
    <s v="not used at this time"/>
    <x v="46"/>
    <x v="4"/>
    <m/>
    <x v="4"/>
    <m/>
    <m/>
    <m/>
  </r>
  <r>
    <s v="p_elec_CS|preterm_us"/>
    <n v="0.77990000000000004"/>
    <m/>
    <m/>
    <m/>
    <m/>
    <m/>
    <s v="P(elective CS given preterm by US)"/>
    <s v="not used at this time"/>
    <x v="46"/>
    <x v="4"/>
    <m/>
    <x v="1"/>
    <m/>
    <m/>
    <m/>
  </r>
  <r>
    <s v="p_elec_CS|preterm_us"/>
    <m/>
    <m/>
    <m/>
    <m/>
    <m/>
    <m/>
    <s v="P(elective CS given preterm by US)"/>
    <s v="not used at this time"/>
    <x v="46"/>
    <x v="4"/>
    <m/>
    <x v="2"/>
    <m/>
    <m/>
    <m/>
  </r>
  <r>
    <s v="p_elec_CS|preterm_us"/>
    <m/>
    <m/>
    <m/>
    <m/>
    <m/>
    <m/>
    <s v="P(elective CS given preterm by US)"/>
    <s v="not used at this time"/>
    <x v="46"/>
    <x v="4"/>
    <m/>
    <x v="3"/>
    <m/>
    <m/>
    <m/>
  </r>
  <r>
    <s v="p_elec_CS|preterm_us"/>
    <m/>
    <m/>
    <m/>
    <m/>
    <m/>
    <m/>
    <s v="P(elective CS given preterm by US)"/>
    <s v="not used at this time"/>
    <x v="46"/>
    <x v="4"/>
    <m/>
    <x v="4"/>
    <m/>
    <m/>
    <m/>
  </r>
  <r>
    <s v="p_aph"/>
    <n v="1.7600000000000001E-2"/>
    <m/>
    <m/>
    <m/>
    <m/>
    <m/>
    <s v="P(antepartum hemorrhage)"/>
    <m/>
    <x v="45"/>
    <x v="4"/>
    <m/>
    <x v="1"/>
    <m/>
    <m/>
    <m/>
  </r>
  <r>
    <s v="p_aph"/>
    <m/>
    <m/>
    <m/>
    <m/>
    <m/>
    <m/>
    <s v="P(antepartum hemorrhage)"/>
    <m/>
    <x v="32"/>
    <x v="4"/>
    <m/>
    <x v="2"/>
    <m/>
    <m/>
    <m/>
  </r>
  <r>
    <s v="p_aph"/>
    <m/>
    <m/>
    <m/>
    <m/>
    <m/>
    <m/>
    <s v="P(antepartum hemorrhage)"/>
    <m/>
    <x v="32"/>
    <x v="4"/>
    <m/>
    <x v="3"/>
    <m/>
    <m/>
    <m/>
  </r>
  <r>
    <s v="p_aph"/>
    <m/>
    <m/>
    <m/>
    <m/>
    <m/>
    <m/>
    <s v="P(antepartum hemorrhage)"/>
    <m/>
    <x v="32"/>
    <x v="4"/>
    <m/>
    <x v="4"/>
    <m/>
    <m/>
    <m/>
  </r>
  <r>
    <s v="p_eclampsia"/>
    <n v="1.6400000000000001E-2"/>
    <m/>
    <m/>
    <m/>
    <m/>
    <m/>
    <s v="P(eclampsia)"/>
    <m/>
    <x v="45"/>
    <x v="4"/>
    <m/>
    <x v="1"/>
    <m/>
    <m/>
    <m/>
  </r>
  <r>
    <s v="p_eclampsia"/>
    <m/>
    <m/>
    <m/>
    <m/>
    <m/>
    <m/>
    <s v="P(eclampsia)"/>
    <m/>
    <x v="32"/>
    <x v="4"/>
    <m/>
    <x v="2"/>
    <m/>
    <m/>
    <m/>
  </r>
  <r>
    <s v="p_eclampsia"/>
    <m/>
    <m/>
    <m/>
    <m/>
    <m/>
    <m/>
    <s v="P(eclampsia)"/>
    <m/>
    <x v="32"/>
    <x v="4"/>
    <m/>
    <x v="3"/>
    <m/>
    <m/>
    <m/>
  </r>
  <r>
    <s v="p_eclampsia"/>
    <m/>
    <m/>
    <m/>
    <m/>
    <m/>
    <m/>
    <s v="P(eclampsia)"/>
    <m/>
    <x v="32"/>
    <x v="4"/>
    <m/>
    <x v="4"/>
    <m/>
    <m/>
    <m/>
  </r>
  <r>
    <s v="p_ruptured_uterus"/>
    <n v="1.9099999999999999E-2"/>
    <m/>
    <m/>
    <m/>
    <m/>
    <m/>
    <s v="P(ruptured uterus)"/>
    <m/>
    <x v="45"/>
    <x v="4"/>
    <m/>
    <x v="1"/>
    <m/>
    <m/>
    <m/>
  </r>
  <r>
    <s v="p_ruptured_uterus"/>
    <m/>
    <m/>
    <m/>
    <m/>
    <m/>
    <m/>
    <s v="P(ruptured uterus)"/>
    <m/>
    <x v="32"/>
    <x v="4"/>
    <m/>
    <x v="2"/>
    <m/>
    <m/>
    <m/>
  </r>
  <r>
    <s v="p_ruptured_uterus"/>
    <m/>
    <m/>
    <m/>
    <m/>
    <m/>
    <m/>
    <s v="P(ruptured uterus)"/>
    <m/>
    <x v="32"/>
    <x v="4"/>
    <m/>
    <x v="3"/>
    <m/>
    <m/>
    <m/>
  </r>
  <r>
    <s v="p_ruptured_uterus"/>
    <m/>
    <m/>
    <m/>
    <m/>
    <m/>
    <m/>
    <s v="P(ruptured uterus)"/>
    <m/>
    <x v="32"/>
    <x v="4"/>
    <m/>
    <x v="4"/>
    <m/>
    <m/>
    <m/>
  </r>
  <r>
    <s v="p_OL_scale"/>
    <n v="0.79820000000000002"/>
    <m/>
    <m/>
    <m/>
    <m/>
    <m/>
    <s v="OL scaling factor"/>
    <m/>
    <x v="45"/>
    <x v="4"/>
    <m/>
    <x v="1"/>
    <m/>
    <m/>
    <m/>
  </r>
  <r>
    <s v="p_OL_scale"/>
    <m/>
    <m/>
    <m/>
    <m/>
    <m/>
    <m/>
    <s v="OL scaling factor"/>
    <m/>
    <x v="32"/>
    <x v="4"/>
    <m/>
    <x v="2"/>
    <m/>
    <m/>
    <m/>
  </r>
  <r>
    <s v="p_OL_scale"/>
    <m/>
    <m/>
    <m/>
    <m/>
    <m/>
    <m/>
    <s v="OL scaling factor"/>
    <m/>
    <x v="32"/>
    <x v="4"/>
    <m/>
    <x v="3"/>
    <m/>
    <m/>
    <m/>
  </r>
  <r>
    <s v="p_OL_scale"/>
    <m/>
    <m/>
    <m/>
    <m/>
    <m/>
    <m/>
    <s v="OL scaling factor"/>
    <m/>
    <x v="32"/>
    <x v="4"/>
    <m/>
    <x v="4"/>
    <m/>
    <m/>
    <m/>
  </r>
  <r>
    <s v="p_pph_other"/>
    <n v="0.01"/>
    <m/>
    <m/>
    <m/>
    <m/>
    <m/>
    <s v="P(PPH given other delivery)"/>
    <m/>
    <x v="45"/>
    <x v="4"/>
    <m/>
    <x v="1"/>
    <m/>
    <m/>
    <m/>
  </r>
  <r>
    <s v="p_pph_other"/>
    <m/>
    <m/>
    <m/>
    <m/>
    <m/>
    <m/>
    <s v="P(PPH given other delivery)"/>
    <m/>
    <x v="32"/>
    <x v="4"/>
    <m/>
    <x v="2"/>
    <m/>
    <m/>
    <m/>
  </r>
  <r>
    <s v="p_pph_other"/>
    <m/>
    <m/>
    <m/>
    <m/>
    <m/>
    <m/>
    <s v="P(PPH given other delivery)"/>
    <m/>
    <x v="32"/>
    <x v="4"/>
    <m/>
    <x v="3"/>
    <m/>
    <m/>
    <m/>
  </r>
  <r>
    <s v="p_pph_other"/>
    <m/>
    <m/>
    <m/>
    <m/>
    <m/>
    <m/>
    <s v="P(PPH given other delivery)"/>
    <m/>
    <x v="32"/>
    <x v="4"/>
    <m/>
    <x v="4"/>
    <m/>
    <m/>
    <m/>
  </r>
  <r>
    <s v="p_mat_sepsis_other"/>
    <n v="3.56E-2"/>
    <m/>
    <m/>
    <m/>
    <m/>
    <m/>
    <s v="P(maternal sepsis given other delivery)"/>
    <m/>
    <x v="45"/>
    <x v="4"/>
    <m/>
    <x v="1"/>
    <m/>
    <m/>
    <m/>
  </r>
  <r>
    <s v="p_mat_sepsis_other"/>
    <m/>
    <m/>
    <m/>
    <m/>
    <m/>
    <m/>
    <s v="P(maternal sepsis given other delivery)"/>
    <m/>
    <x v="32"/>
    <x v="4"/>
    <m/>
    <x v="2"/>
    <m/>
    <m/>
    <m/>
  </r>
  <r>
    <s v="p_mat_sepsis_other"/>
    <m/>
    <m/>
    <m/>
    <m/>
    <m/>
    <m/>
    <s v="P(maternal sepsis given other delivery)"/>
    <m/>
    <x v="32"/>
    <x v="4"/>
    <m/>
    <x v="3"/>
    <m/>
    <m/>
    <m/>
  </r>
  <r>
    <s v="p_mat_sepsis_other"/>
    <m/>
    <m/>
    <m/>
    <m/>
    <m/>
    <m/>
    <s v="P(maternal sepsis given other delivery)"/>
    <m/>
    <x v="32"/>
    <x v="4"/>
    <m/>
    <x v="4"/>
    <m/>
    <m/>
    <m/>
  </r>
  <r>
    <s v="p_cs_capacity"/>
    <n v="0"/>
    <m/>
    <m/>
    <m/>
    <m/>
    <m/>
    <s v="CS capacity at home"/>
    <s v="assumption"/>
    <x v="45"/>
    <x v="4"/>
    <n v="0"/>
    <x v="1"/>
    <m/>
    <m/>
    <m/>
  </r>
  <r>
    <s v="p_cs_capacity"/>
    <n v="5.6800000000000003E-2"/>
    <m/>
    <m/>
    <m/>
    <m/>
    <m/>
    <s v="CS capacity at L2/3"/>
    <m/>
    <x v="45"/>
    <x v="4"/>
    <n v="1"/>
    <x v="1"/>
    <m/>
    <m/>
    <m/>
  </r>
  <r>
    <s v="p_cs_capacity"/>
    <n v="0.1215"/>
    <m/>
    <m/>
    <m/>
    <m/>
    <m/>
    <s v="CS capacity at L4"/>
    <m/>
    <x v="45"/>
    <x v="4"/>
    <n v="2"/>
    <x v="1"/>
    <m/>
    <m/>
    <m/>
  </r>
  <r>
    <s v="p_cs_capacity"/>
    <n v="0.1215"/>
    <m/>
    <m/>
    <m/>
    <m/>
    <m/>
    <s v="CS capacity at L5"/>
    <m/>
    <x v="45"/>
    <x v="4"/>
    <n v="3"/>
    <x v="1"/>
    <m/>
    <m/>
    <m/>
  </r>
  <r>
    <s v="p_cs_capacity"/>
    <m/>
    <m/>
    <m/>
    <m/>
    <m/>
    <m/>
    <s v="CS capacity at home"/>
    <m/>
    <x v="32"/>
    <x v="4"/>
    <n v="0"/>
    <x v="2"/>
    <m/>
    <m/>
    <m/>
  </r>
  <r>
    <s v="p_cs_capacity"/>
    <m/>
    <m/>
    <m/>
    <m/>
    <m/>
    <m/>
    <s v="CS capacity at L2/3"/>
    <m/>
    <x v="32"/>
    <x v="4"/>
    <n v="1"/>
    <x v="2"/>
    <m/>
    <m/>
    <m/>
  </r>
  <r>
    <s v="p_cs_capacity"/>
    <m/>
    <m/>
    <m/>
    <m/>
    <m/>
    <m/>
    <s v="CS capacity at L4"/>
    <m/>
    <x v="32"/>
    <x v="4"/>
    <n v="2"/>
    <x v="2"/>
    <m/>
    <m/>
    <m/>
  </r>
  <r>
    <s v="p_cs_capacity"/>
    <m/>
    <m/>
    <m/>
    <m/>
    <m/>
    <m/>
    <s v="CS capacity at L5"/>
    <m/>
    <x v="32"/>
    <x v="4"/>
    <n v="3"/>
    <x v="2"/>
    <m/>
    <m/>
    <m/>
  </r>
  <r>
    <s v="p_cs_capacity"/>
    <m/>
    <m/>
    <m/>
    <m/>
    <m/>
    <m/>
    <s v="CS capacity at home"/>
    <m/>
    <x v="32"/>
    <x v="4"/>
    <n v="0"/>
    <x v="3"/>
    <m/>
    <m/>
    <m/>
  </r>
  <r>
    <s v="p_cs_capacity"/>
    <m/>
    <m/>
    <m/>
    <m/>
    <m/>
    <m/>
    <s v="CS capacity at L2/3"/>
    <m/>
    <x v="32"/>
    <x v="4"/>
    <n v="1"/>
    <x v="3"/>
    <m/>
    <m/>
    <m/>
  </r>
  <r>
    <s v="p_cs_capacity"/>
    <m/>
    <m/>
    <m/>
    <m/>
    <m/>
    <m/>
    <s v="CS capacity at L4"/>
    <m/>
    <x v="32"/>
    <x v="4"/>
    <n v="2"/>
    <x v="3"/>
    <m/>
    <m/>
    <m/>
  </r>
  <r>
    <s v="p_cs_capacity"/>
    <m/>
    <m/>
    <m/>
    <m/>
    <m/>
    <m/>
    <s v="CS capacity at L5"/>
    <m/>
    <x v="32"/>
    <x v="4"/>
    <n v="3"/>
    <x v="3"/>
    <m/>
    <m/>
    <m/>
  </r>
  <r>
    <s v="p_cs_capacity"/>
    <m/>
    <m/>
    <m/>
    <m/>
    <m/>
    <m/>
    <s v="CS capacity at home"/>
    <m/>
    <x v="32"/>
    <x v="4"/>
    <n v="0"/>
    <x v="4"/>
    <m/>
    <m/>
    <m/>
  </r>
  <r>
    <s v="p_cs_capacity"/>
    <m/>
    <m/>
    <m/>
    <m/>
    <m/>
    <m/>
    <s v="CS capacity at L2/3"/>
    <m/>
    <x v="32"/>
    <x v="4"/>
    <n v="1"/>
    <x v="4"/>
    <m/>
    <m/>
    <m/>
  </r>
  <r>
    <s v="p_cs_capacity"/>
    <m/>
    <m/>
    <m/>
    <m/>
    <m/>
    <m/>
    <s v="CS capacity at L4"/>
    <m/>
    <x v="32"/>
    <x v="4"/>
    <n v="2"/>
    <x v="4"/>
    <m/>
    <m/>
    <m/>
  </r>
  <r>
    <s v="p_cs_capacity"/>
    <m/>
    <m/>
    <m/>
    <m/>
    <m/>
    <m/>
    <s v="CS capacity at L5"/>
    <m/>
    <x v="32"/>
    <x v="4"/>
    <n v="3"/>
    <x v="4"/>
    <m/>
    <m/>
    <m/>
  </r>
  <r>
    <s v="p_cs_capacity_sdr"/>
    <n v="0"/>
    <m/>
    <m/>
    <m/>
    <m/>
    <m/>
    <s v="CS capacity SDR at home"/>
    <s v="double check in code"/>
    <x v="45"/>
    <x v="4"/>
    <n v="0"/>
    <x v="1"/>
    <m/>
    <m/>
    <m/>
  </r>
  <r>
    <s v="p_cs_capacity_sdr"/>
    <n v="0"/>
    <m/>
    <m/>
    <m/>
    <m/>
    <m/>
    <s v="CS capacity SDR at L2/3"/>
    <s v="assumption"/>
    <x v="45"/>
    <x v="4"/>
    <n v="1"/>
    <x v="1"/>
    <m/>
    <m/>
    <m/>
  </r>
  <r>
    <s v="p_cs_capacity_sdr"/>
    <n v="0.1215"/>
    <m/>
    <m/>
    <m/>
    <m/>
    <m/>
    <s v="CS capacity SDR at L4"/>
    <s v="double check in code"/>
    <x v="45"/>
    <x v="4"/>
    <n v="2"/>
    <x v="1"/>
    <m/>
    <m/>
    <m/>
  </r>
  <r>
    <s v="p_cs_capacity_sdr"/>
    <n v="0.1215"/>
    <m/>
    <m/>
    <m/>
    <m/>
    <m/>
    <s v="CS capacity SDR at L5"/>
    <s v="double check in code"/>
    <x v="45"/>
    <x v="4"/>
    <n v="3"/>
    <x v="1"/>
    <m/>
    <m/>
    <m/>
  </r>
  <r>
    <s v="p_cs_capacity_sdr"/>
    <m/>
    <m/>
    <m/>
    <m/>
    <m/>
    <m/>
    <s v="CS capacity SDR at home"/>
    <m/>
    <x v="32"/>
    <x v="4"/>
    <n v="0"/>
    <x v="2"/>
    <m/>
    <m/>
    <m/>
  </r>
  <r>
    <s v="p_cs_capacity_sdr"/>
    <m/>
    <m/>
    <m/>
    <m/>
    <m/>
    <m/>
    <s v="CS capacity SDR at L2/3"/>
    <m/>
    <x v="32"/>
    <x v="4"/>
    <n v="1"/>
    <x v="2"/>
    <m/>
    <m/>
    <m/>
  </r>
  <r>
    <s v="p_cs_capacity_sdr"/>
    <m/>
    <m/>
    <m/>
    <m/>
    <m/>
    <m/>
    <s v="CS capacity SDR at L4"/>
    <m/>
    <x v="32"/>
    <x v="4"/>
    <n v="2"/>
    <x v="2"/>
    <m/>
    <m/>
    <m/>
  </r>
  <r>
    <s v="p_cs_capacity_sdr"/>
    <m/>
    <m/>
    <m/>
    <m/>
    <m/>
    <m/>
    <s v="CS capacity SDR at L5"/>
    <m/>
    <x v="32"/>
    <x v="4"/>
    <n v="3"/>
    <x v="2"/>
    <m/>
    <m/>
    <m/>
  </r>
  <r>
    <s v="p_cs_capacity_sdr"/>
    <m/>
    <m/>
    <m/>
    <m/>
    <m/>
    <m/>
    <s v="CS capacity SDR at home"/>
    <m/>
    <x v="32"/>
    <x v="4"/>
    <n v="0"/>
    <x v="3"/>
    <m/>
    <m/>
    <m/>
  </r>
  <r>
    <s v="p_cs_capacity_sdr"/>
    <m/>
    <m/>
    <m/>
    <m/>
    <m/>
    <m/>
    <s v="CS capacity SDR at L2/3"/>
    <m/>
    <x v="32"/>
    <x v="4"/>
    <n v="1"/>
    <x v="3"/>
    <m/>
    <m/>
    <m/>
  </r>
  <r>
    <s v="p_cs_capacity_sdr"/>
    <m/>
    <m/>
    <m/>
    <m/>
    <m/>
    <m/>
    <s v="CS capacity SDR at L4"/>
    <m/>
    <x v="32"/>
    <x v="4"/>
    <n v="2"/>
    <x v="3"/>
    <m/>
    <m/>
    <m/>
  </r>
  <r>
    <s v="p_cs_capacity_sdr"/>
    <m/>
    <m/>
    <m/>
    <m/>
    <m/>
    <m/>
    <s v="CS capacity SDR at L5"/>
    <m/>
    <x v="32"/>
    <x v="4"/>
    <n v="3"/>
    <x v="3"/>
    <m/>
    <m/>
    <m/>
  </r>
  <r>
    <s v="p_cs_capacity_sdr"/>
    <m/>
    <m/>
    <m/>
    <m/>
    <m/>
    <m/>
    <s v="CS capacity SDR at home"/>
    <m/>
    <x v="32"/>
    <x v="4"/>
    <n v="0"/>
    <x v="4"/>
    <m/>
    <m/>
    <m/>
  </r>
  <r>
    <s v="p_cs_capacity_sdr"/>
    <m/>
    <m/>
    <m/>
    <m/>
    <m/>
    <m/>
    <s v="CS capacity SDR at L2/3"/>
    <m/>
    <x v="32"/>
    <x v="4"/>
    <n v="1"/>
    <x v="4"/>
    <m/>
    <m/>
    <m/>
  </r>
  <r>
    <s v="p_cs_capacity_sdr"/>
    <m/>
    <m/>
    <m/>
    <m/>
    <m/>
    <m/>
    <s v="CS capacity SDR at L4"/>
    <m/>
    <x v="32"/>
    <x v="4"/>
    <n v="2"/>
    <x v="4"/>
    <m/>
    <m/>
    <m/>
  </r>
  <r>
    <s v="p_cs_capacity_sdr"/>
    <m/>
    <m/>
    <m/>
    <m/>
    <m/>
    <m/>
    <s v="CS capacity SDR at L5"/>
    <m/>
    <x v="32"/>
    <x v="4"/>
    <n v="3"/>
    <x v="4"/>
    <m/>
    <m/>
    <m/>
  </r>
  <r>
    <s v="p_cs_capacity_sensor"/>
    <n v="0"/>
    <m/>
    <m/>
    <m/>
    <m/>
    <m/>
    <s v="CS capacity sensor at home"/>
    <s v="assumption"/>
    <x v="45"/>
    <x v="4"/>
    <n v="0"/>
    <x v="1"/>
    <m/>
    <m/>
    <m/>
  </r>
  <r>
    <s v="p_cs_capacity_sensor"/>
    <n v="5.6800000000000003E-2"/>
    <m/>
    <m/>
    <m/>
    <m/>
    <m/>
    <s v="CS capacity sensor at L2/3"/>
    <s v="assumption"/>
    <x v="45"/>
    <x v="4"/>
    <n v="1"/>
    <x v="1"/>
    <m/>
    <m/>
    <m/>
  </r>
  <r>
    <s v="p_cs_capacity_sensor"/>
    <n v="0.1215"/>
    <m/>
    <m/>
    <m/>
    <m/>
    <m/>
    <s v="CS capacity sensor at L4"/>
    <s v="assumption"/>
    <x v="45"/>
    <x v="4"/>
    <n v="2"/>
    <x v="1"/>
    <m/>
    <m/>
    <m/>
  </r>
  <r>
    <s v="p_cs_capacity_sensor"/>
    <n v="0.1215"/>
    <m/>
    <m/>
    <m/>
    <m/>
    <m/>
    <s v="CS capacity sensor at L5"/>
    <s v="assumption"/>
    <x v="45"/>
    <x v="4"/>
    <n v="3"/>
    <x v="1"/>
    <m/>
    <m/>
    <m/>
  </r>
  <r>
    <s v="p_cs_capacity_sensor"/>
    <m/>
    <m/>
    <m/>
    <m/>
    <m/>
    <m/>
    <s v="CS capacity sensor at home"/>
    <m/>
    <x v="32"/>
    <x v="4"/>
    <n v="0"/>
    <x v="2"/>
    <m/>
    <m/>
    <m/>
  </r>
  <r>
    <s v="p_cs_capacity_sensor"/>
    <m/>
    <m/>
    <m/>
    <m/>
    <m/>
    <m/>
    <s v="CS capacity sensor at L2/3"/>
    <m/>
    <x v="32"/>
    <x v="4"/>
    <n v="1"/>
    <x v="2"/>
    <m/>
    <m/>
    <m/>
  </r>
  <r>
    <s v="p_cs_capacity_sensor"/>
    <m/>
    <m/>
    <m/>
    <m/>
    <m/>
    <m/>
    <s v="CS capacity sensor at L4"/>
    <m/>
    <x v="32"/>
    <x v="4"/>
    <n v="2"/>
    <x v="2"/>
    <m/>
    <m/>
    <m/>
  </r>
  <r>
    <s v="p_cs_capacity_sensor"/>
    <m/>
    <m/>
    <m/>
    <m/>
    <m/>
    <m/>
    <s v="CS capacity sensor at L5"/>
    <m/>
    <x v="32"/>
    <x v="4"/>
    <n v="3"/>
    <x v="2"/>
    <m/>
    <m/>
    <m/>
  </r>
  <r>
    <s v="p_cs_capacity_sensor"/>
    <m/>
    <m/>
    <m/>
    <m/>
    <m/>
    <m/>
    <s v="CS capacity sensor at home"/>
    <m/>
    <x v="32"/>
    <x v="4"/>
    <n v="0"/>
    <x v="3"/>
    <m/>
    <m/>
    <m/>
  </r>
  <r>
    <s v="p_cs_capacity_sensor"/>
    <m/>
    <m/>
    <m/>
    <m/>
    <m/>
    <m/>
    <s v="CS capacity sensor at L2/3"/>
    <m/>
    <x v="32"/>
    <x v="4"/>
    <n v="1"/>
    <x v="3"/>
    <m/>
    <m/>
    <m/>
  </r>
  <r>
    <s v="p_cs_capacity_sensor"/>
    <m/>
    <m/>
    <m/>
    <m/>
    <m/>
    <m/>
    <s v="CS capacity sensor at L4"/>
    <m/>
    <x v="32"/>
    <x v="4"/>
    <n v="2"/>
    <x v="3"/>
    <m/>
    <m/>
    <m/>
  </r>
  <r>
    <s v="p_cs_capacity_sensor"/>
    <m/>
    <m/>
    <m/>
    <m/>
    <m/>
    <m/>
    <s v="CS capacity sensor at L5"/>
    <m/>
    <x v="32"/>
    <x v="4"/>
    <n v="3"/>
    <x v="3"/>
    <m/>
    <m/>
    <m/>
  </r>
  <r>
    <s v="p_cs_capacity_sensor"/>
    <m/>
    <m/>
    <m/>
    <m/>
    <m/>
    <m/>
    <s v="CS capacity sensor at home"/>
    <m/>
    <x v="32"/>
    <x v="4"/>
    <n v="0"/>
    <x v="4"/>
    <m/>
    <m/>
    <m/>
  </r>
  <r>
    <s v="p_cs_capacity_sensor"/>
    <m/>
    <m/>
    <m/>
    <m/>
    <m/>
    <m/>
    <s v="CS capacity sensor at L2/3"/>
    <m/>
    <x v="32"/>
    <x v="4"/>
    <n v="1"/>
    <x v="4"/>
    <m/>
    <m/>
    <m/>
  </r>
  <r>
    <s v="p_cs_capacity_sensor"/>
    <m/>
    <m/>
    <m/>
    <m/>
    <m/>
    <m/>
    <s v="CS capacity sensor at L4"/>
    <m/>
    <x v="32"/>
    <x v="4"/>
    <n v="2"/>
    <x v="4"/>
    <m/>
    <m/>
    <m/>
  </r>
  <r>
    <s v="p_cs_capacity_sensor"/>
    <m/>
    <m/>
    <m/>
    <m/>
    <m/>
    <m/>
    <s v="CS capacity sensor at L5"/>
    <m/>
    <x v="32"/>
    <x v="4"/>
    <n v="3"/>
    <x v="4"/>
    <m/>
    <m/>
    <m/>
  </r>
  <r>
    <s v="p_cs_capacity_sdr_sensor"/>
    <n v="0"/>
    <m/>
    <m/>
    <m/>
    <m/>
    <m/>
    <s v="CS capacity SDR+sensor at home"/>
    <s v="double check in code"/>
    <x v="45"/>
    <x v="4"/>
    <n v="0"/>
    <x v="1"/>
    <m/>
    <m/>
    <m/>
  </r>
  <r>
    <s v="p_cs_capacity_sdr_sensor"/>
    <n v="0"/>
    <m/>
    <m/>
    <m/>
    <m/>
    <m/>
    <s v="CS capacity SDR+sensor at L2/3"/>
    <m/>
    <x v="45"/>
    <x v="4"/>
    <n v="1"/>
    <x v="1"/>
    <m/>
    <m/>
    <m/>
  </r>
  <r>
    <s v="p_cs_capacity_sdr_sensor"/>
    <n v="0.1215"/>
    <m/>
    <m/>
    <m/>
    <m/>
    <m/>
    <s v="CS capacity SDR+sensor at L4"/>
    <s v="double check in code"/>
    <x v="45"/>
    <x v="4"/>
    <n v="2"/>
    <x v="1"/>
    <m/>
    <m/>
    <m/>
  </r>
  <r>
    <s v="p_cs_capacity_sdr_sensor"/>
    <n v="0.1215"/>
    <m/>
    <m/>
    <m/>
    <m/>
    <m/>
    <s v="CS capacity SDR+sensor at L5"/>
    <s v="double check in code"/>
    <x v="45"/>
    <x v="4"/>
    <n v="3"/>
    <x v="1"/>
    <m/>
    <m/>
    <m/>
  </r>
  <r>
    <s v="p_cs_capacity_sdr_sensor"/>
    <m/>
    <m/>
    <m/>
    <m/>
    <m/>
    <m/>
    <s v="CS capacity SDR+sensor at home"/>
    <m/>
    <x v="32"/>
    <x v="4"/>
    <n v="0"/>
    <x v="2"/>
    <m/>
    <m/>
    <m/>
  </r>
  <r>
    <s v="p_cs_capacity_sdr_sensor"/>
    <m/>
    <m/>
    <m/>
    <m/>
    <m/>
    <m/>
    <s v="CS capacity SDR+sensor at L2/3"/>
    <m/>
    <x v="32"/>
    <x v="4"/>
    <n v="1"/>
    <x v="2"/>
    <m/>
    <m/>
    <m/>
  </r>
  <r>
    <s v="p_cs_capacity_sdr_sensor"/>
    <m/>
    <m/>
    <m/>
    <m/>
    <m/>
    <m/>
    <s v="CS capacity SDR+sensor at L4"/>
    <m/>
    <x v="32"/>
    <x v="4"/>
    <n v="2"/>
    <x v="2"/>
    <m/>
    <m/>
    <m/>
  </r>
  <r>
    <s v="p_cs_capacity_sdr_sensor"/>
    <m/>
    <m/>
    <m/>
    <m/>
    <m/>
    <m/>
    <s v="CS capacity SDR+sensor at L5"/>
    <m/>
    <x v="32"/>
    <x v="4"/>
    <n v="3"/>
    <x v="2"/>
    <m/>
    <m/>
    <m/>
  </r>
  <r>
    <s v="p_cs_capacity_sdr_sensor"/>
    <m/>
    <m/>
    <m/>
    <m/>
    <m/>
    <m/>
    <s v="CS capacity SDR+sensor at home"/>
    <m/>
    <x v="32"/>
    <x v="4"/>
    <n v="0"/>
    <x v="3"/>
    <m/>
    <m/>
    <m/>
  </r>
  <r>
    <s v="p_cs_capacity_sdr_sensor"/>
    <m/>
    <m/>
    <m/>
    <m/>
    <m/>
    <m/>
    <s v="CS capacity SDR+sensor at L2/3"/>
    <m/>
    <x v="32"/>
    <x v="4"/>
    <n v="1"/>
    <x v="3"/>
    <m/>
    <m/>
    <m/>
  </r>
  <r>
    <s v="p_cs_capacity_sdr_sensor"/>
    <m/>
    <m/>
    <m/>
    <m/>
    <m/>
    <m/>
    <s v="CS capacity SDR+sensor at L4"/>
    <m/>
    <x v="32"/>
    <x v="4"/>
    <n v="2"/>
    <x v="3"/>
    <m/>
    <m/>
    <m/>
  </r>
  <r>
    <s v="p_cs_capacity_sdr_sensor"/>
    <m/>
    <m/>
    <m/>
    <m/>
    <m/>
    <m/>
    <s v="CS capacity SDR+sensor at L5"/>
    <m/>
    <x v="32"/>
    <x v="4"/>
    <n v="3"/>
    <x v="3"/>
    <m/>
    <m/>
    <m/>
  </r>
  <r>
    <s v="p_cs_capacity_sdr_sensor"/>
    <m/>
    <m/>
    <m/>
    <m/>
    <m/>
    <m/>
    <s v="CS capacity SDR+sensor at home"/>
    <m/>
    <x v="32"/>
    <x v="4"/>
    <n v="0"/>
    <x v="4"/>
    <m/>
    <m/>
    <m/>
  </r>
  <r>
    <s v="p_cs_capacity_sdr_sensor"/>
    <m/>
    <m/>
    <m/>
    <m/>
    <m/>
    <m/>
    <s v="CS capacity SDR+sensor at L2/3"/>
    <m/>
    <x v="32"/>
    <x v="4"/>
    <n v="1"/>
    <x v="4"/>
    <m/>
    <m/>
    <m/>
  </r>
  <r>
    <s v="p_cs_capacity_sdr_sensor"/>
    <m/>
    <m/>
    <m/>
    <m/>
    <m/>
    <m/>
    <s v="CS capacity SDR+sensor at L4"/>
    <m/>
    <x v="32"/>
    <x v="4"/>
    <n v="2"/>
    <x v="4"/>
    <m/>
    <m/>
    <m/>
  </r>
  <r>
    <s v="p_cs_capacity_sdr_sensor"/>
    <m/>
    <m/>
    <m/>
    <m/>
    <m/>
    <m/>
    <s v="CS capacity SDR+sensor at L5"/>
    <m/>
    <x v="32"/>
    <x v="4"/>
    <n v="3"/>
    <x v="4"/>
    <m/>
    <m/>
    <m/>
  </r>
  <r>
    <s v="p_MM_others"/>
    <n v="5.3E-3"/>
    <m/>
    <m/>
    <m/>
    <m/>
    <m/>
    <s v="P(maternal death given other causes)"/>
    <m/>
    <x v="47"/>
    <x v="4"/>
    <m/>
    <x v="1"/>
    <m/>
    <m/>
    <m/>
  </r>
  <r>
    <s v="p_MM_others"/>
    <m/>
    <m/>
    <m/>
    <m/>
    <m/>
    <m/>
    <s v="P(maternal death given other causes)"/>
    <m/>
    <x v="32"/>
    <x v="4"/>
    <m/>
    <x v="2"/>
    <m/>
    <m/>
    <m/>
  </r>
  <r>
    <s v="p_MM_others"/>
    <m/>
    <m/>
    <m/>
    <m/>
    <m/>
    <m/>
    <s v="P(maternal death given other causes)"/>
    <m/>
    <x v="32"/>
    <x v="4"/>
    <m/>
    <x v="3"/>
    <m/>
    <m/>
    <m/>
  </r>
  <r>
    <s v="p_MM_others"/>
    <m/>
    <m/>
    <m/>
    <m/>
    <m/>
    <m/>
    <s v="P(maternal death given other causes)"/>
    <m/>
    <x v="32"/>
    <x v="4"/>
    <m/>
    <x v="4"/>
    <m/>
    <m/>
    <m/>
  </r>
  <r>
    <s v="MM_weight_pph"/>
    <n v="2"/>
    <m/>
    <m/>
    <m/>
    <m/>
    <m/>
    <s v="Weight of PPH in MMR calculation"/>
    <m/>
    <x v="47"/>
    <x v="4"/>
    <m/>
    <x v="1"/>
    <m/>
    <m/>
    <m/>
  </r>
  <r>
    <s v="MM_weight_pph"/>
    <m/>
    <m/>
    <m/>
    <m/>
    <m/>
    <m/>
    <s v="Weight of PPH in MMR calculation"/>
    <m/>
    <x v="32"/>
    <x v="4"/>
    <m/>
    <x v="2"/>
    <m/>
    <m/>
    <m/>
  </r>
  <r>
    <s v="MM_weight_pph"/>
    <m/>
    <m/>
    <m/>
    <m/>
    <m/>
    <m/>
    <s v="Weight of PPH in MMR calculation"/>
    <m/>
    <x v="32"/>
    <x v="4"/>
    <m/>
    <x v="3"/>
    <m/>
    <m/>
    <m/>
  </r>
  <r>
    <s v="MM_weight_pph"/>
    <m/>
    <m/>
    <m/>
    <m/>
    <m/>
    <m/>
    <s v="Weight of PPH in MMR calculation"/>
    <m/>
    <x v="32"/>
    <x v="4"/>
    <m/>
    <x v="4"/>
    <m/>
    <m/>
    <m/>
  </r>
  <r>
    <s v="MM_weight_sepsis"/>
    <n v="0.47599999999999998"/>
    <m/>
    <m/>
    <m/>
    <m/>
    <m/>
    <s v="Weight of sepsis in MMR calculation"/>
    <m/>
    <x v="47"/>
    <x v="4"/>
    <m/>
    <x v="1"/>
    <m/>
    <m/>
    <m/>
  </r>
  <r>
    <s v="MM_weight_sepsis"/>
    <m/>
    <m/>
    <m/>
    <m/>
    <m/>
    <m/>
    <s v="Weight of sepsis in MMR calculation"/>
    <m/>
    <x v="32"/>
    <x v="4"/>
    <m/>
    <x v="2"/>
    <m/>
    <m/>
    <m/>
  </r>
  <r>
    <s v="MM_weight_sepsis"/>
    <m/>
    <m/>
    <m/>
    <m/>
    <m/>
    <m/>
    <s v="Weight of sepsis in MMR calculation"/>
    <m/>
    <x v="32"/>
    <x v="4"/>
    <m/>
    <x v="3"/>
    <m/>
    <m/>
    <m/>
  </r>
  <r>
    <s v="MM_weight_sepsis"/>
    <m/>
    <m/>
    <m/>
    <m/>
    <m/>
    <m/>
    <s v="Weight of sepsis in MMR calculation"/>
    <m/>
    <x v="32"/>
    <x v="4"/>
    <m/>
    <x v="4"/>
    <m/>
    <m/>
    <m/>
  </r>
  <r>
    <s v="MM_weight_eclampsia"/>
    <n v="2"/>
    <m/>
    <m/>
    <m/>
    <m/>
    <m/>
    <s v="Weight of eclampsia in MMR calculation"/>
    <m/>
    <x v="47"/>
    <x v="4"/>
    <m/>
    <x v="1"/>
    <m/>
    <m/>
    <m/>
  </r>
  <r>
    <s v="MM_weight_eclampsia"/>
    <m/>
    <m/>
    <m/>
    <m/>
    <m/>
    <m/>
    <s v="Weight of eclampsia in MMR calculation"/>
    <m/>
    <x v="32"/>
    <x v="4"/>
    <m/>
    <x v="2"/>
    <m/>
    <m/>
    <m/>
  </r>
  <r>
    <s v="MM_weight_eclampsia"/>
    <m/>
    <m/>
    <m/>
    <m/>
    <m/>
    <m/>
    <s v="Weight of eclampsia in MMR calculation"/>
    <m/>
    <x v="32"/>
    <x v="4"/>
    <m/>
    <x v="3"/>
    <m/>
    <m/>
    <m/>
  </r>
  <r>
    <s v="MM_weight_eclampsia"/>
    <m/>
    <m/>
    <m/>
    <m/>
    <m/>
    <m/>
    <s v="Weight of eclampsia in MMR calculation"/>
    <m/>
    <x v="32"/>
    <x v="4"/>
    <m/>
    <x v="4"/>
    <m/>
    <m/>
    <m/>
  </r>
  <r>
    <s v="MM_weight_ol"/>
    <n v="0.1855"/>
    <m/>
    <m/>
    <m/>
    <m/>
    <m/>
    <s v="Weight of OL in MMR calculation"/>
    <m/>
    <x v="47"/>
    <x v="4"/>
    <m/>
    <x v="1"/>
    <m/>
    <m/>
    <m/>
  </r>
  <r>
    <s v="MM_weight_ol"/>
    <m/>
    <m/>
    <m/>
    <m/>
    <m/>
    <m/>
    <s v="Weight of OL in MMR calculation"/>
    <m/>
    <x v="32"/>
    <x v="4"/>
    <m/>
    <x v="2"/>
    <m/>
    <m/>
    <m/>
  </r>
  <r>
    <s v="MM_weight_ol"/>
    <m/>
    <m/>
    <m/>
    <m/>
    <m/>
    <m/>
    <s v="Weight of OL in MMR calculation"/>
    <m/>
    <x v="32"/>
    <x v="4"/>
    <m/>
    <x v="3"/>
    <m/>
    <m/>
    <m/>
  </r>
  <r>
    <s v="MM_weight_ol"/>
    <m/>
    <m/>
    <m/>
    <m/>
    <m/>
    <m/>
    <s v="Weight of OL in MMR calculation"/>
    <m/>
    <x v="32"/>
    <x v="4"/>
    <m/>
    <x v="4"/>
    <m/>
    <m/>
    <m/>
  </r>
  <r>
    <s v="MM_weight_aph"/>
    <n v="2"/>
    <m/>
    <m/>
    <m/>
    <m/>
    <m/>
    <s v="Weight of APH in MMR calculation"/>
    <m/>
    <x v="47"/>
    <x v="4"/>
    <m/>
    <x v="1"/>
    <m/>
    <m/>
    <m/>
  </r>
  <r>
    <s v="MM_weight_aph"/>
    <m/>
    <m/>
    <m/>
    <m/>
    <m/>
    <m/>
    <s v="Weight of APH in MMR calculation"/>
    <m/>
    <x v="32"/>
    <x v="4"/>
    <m/>
    <x v="2"/>
    <m/>
    <m/>
    <m/>
  </r>
  <r>
    <s v="MM_weight_aph"/>
    <m/>
    <m/>
    <m/>
    <m/>
    <m/>
    <m/>
    <s v="Weight of APH in MMR calculation"/>
    <m/>
    <x v="32"/>
    <x v="4"/>
    <m/>
    <x v="3"/>
    <m/>
    <m/>
    <m/>
  </r>
  <r>
    <s v="MM_weight_aph"/>
    <m/>
    <m/>
    <m/>
    <m/>
    <m/>
    <m/>
    <s v="Weight of APH in MMR calculation"/>
    <m/>
    <x v="32"/>
    <x v="4"/>
    <m/>
    <x v="4"/>
    <m/>
    <m/>
    <m/>
  </r>
  <r>
    <s v="p_MM_home"/>
    <n v="0.14560000000000001"/>
    <m/>
    <m/>
    <m/>
    <m/>
    <m/>
    <s v="Maternal mortality rate at home"/>
    <m/>
    <x v="47"/>
    <x v="4"/>
    <m/>
    <x v="1"/>
    <m/>
    <m/>
    <m/>
  </r>
  <r>
    <s v="p_MM_home"/>
    <m/>
    <m/>
    <m/>
    <m/>
    <m/>
    <m/>
    <s v="Maternal mortality rate at home"/>
    <m/>
    <x v="32"/>
    <x v="4"/>
    <m/>
    <x v="2"/>
    <m/>
    <m/>
    <m/>
  </r>
  <r>
    <s v="p_MM_home"/>
    <m/>
    <m/>
    <m/>
    <m/>
    <m/>
    <m/>
    <s v="Maternal mortality rate at home"/>
    <m/>
    <x v="32"/>
    <x v="4"/>
    <m/>
    <x v="3"/>
    <m/>
    <m/>
    <m/>
  </r>
  <r>
    <s v="p_MM_home"/>
    <m/>
    <m/>
    <m/>
    <m/>
    <m/>
    <m/>
    <s v="Maternal mortality rate at home"/>
    <m/>
    <x v="32"/>
    <x v="4"/>
    <m/>
    <x v="4"/>
    <m/>
    <m/>
    <m/>
  </r>
  <r>
    <s v="weight_facility_mat"/>
    <n v="2.6661000000000001"/>
    <m/>
    <m/>
    <m/>
    <m/>
    <m/>
    <s v="Weight of facility in maternal MMR"/>
    <m/>
    <x v="47"/>
    <x v="4"/>
    <m/>
    <x v="1"/>
    <m/>
    <m/>
    <m/>
  </r>
  <r>
    <s v="weight_facility_mat"/>
    <m/>
    <m/>
    <m/>
    <m/>
    <m/>
    <m/>
    <s v="Weight of facility in maternal MMR"/>
    <m/>
    <x v="32"/>
    <x v="4"/>
    <m/>
    <x v="2"/>
    <m/>
    <m/>
    <m/>
  </r>
  <r>
    <s v="weight_facility_mat"/>
    <m/>
    <m/>
    <m/>
    <m/>
    <m/>
    <m/>
    <s v="Weight of facility in maternal MMR"/>
    <m/>
    <x v="32"/>
    <x v="4"/>
    <m/>
    <x v="3"/>
    <m/>
    <m/>
    <m/>
  </r>
  <r>
    <s v="weight_facility_mat"/>
    <m/>
    <m/>
    <m/>
    <m/>
    <m/>
    <m/>
    <s v="Weight of facility in maternal MMR"/>
    <m/>
    <x v="32"/>
    <x v="4"/>
    <m/>
    <x v="4"/>
    <m/>
    <m/>
    <m/>
  </r>
  <r>
    <s v="p_comp_severe_lowrisk"/>
    <n v="5.0099999999999999E-2"/>
    <m/>
    <m/>
    <m/>
    <m/>
    <m/>
    <s v="P(severe complication given low risk)"/>
    <m/>
    <x v="47"/>
    <x v="4"/>
    <m/>
    <x v="1"/>
    <m/>
    <m/>
    <m/>
  </r>
  <r>
    <s v="p_comp_severe_lowrisk"/>
    <m/>
    <m/>
    <m/>
    <m/>
    <m/>
    <m/>
    <s v="P(severe complication given low risk)"/>
    <m/>
    <x v="32"/>
    <x v="4"/>
    <m/>
    <x v="2"/>
    <m/>
    <m/>
    <m/>
  </r>
  <r>
    <s v="p_comp_severe_lowrisk"/>
    <m/>
    <m/>
    <m/>
    <m/>
    <m/>
    <m/>
    <s v="P(severe complication given low risk)"/>
    <m/>
    <x v="32"/>
    <x v="4"/>
    <m/>
    <x v="3"/>
    <m/>
    <m/>
    <m/>
  </r>
  <r>
    <s v="p_comp_severe_lowrisk"/>
    <m/>
    <m/>
    <m/>
    <m/>
    <m/>
    <m/>
    <s v="P(severe complication given low risk)"/>
    <m/>
    <x v="32"/>
    <x v="4"/>
    <m/>
    <x v="4"/>
    <m/>
    <m/>
    <m/>
  </r>
  <r>
    <s v="p_NM_home"/>
    <n v="0.23499999999999999"/>
    <m/>
    <m/>
    <m/>
    <m/>
    <m/>
    <s v="Neonatal mortality rate at home"/>
    <m/>
    <x v="48"/>
    <x v="4"/>
    <m/>
    <x v="1"/>
    <m/>
    <m/>
    <m/>
  </r>
  <r>
    <s v="p_NM_home"/>
    <m/>
    <m/>
    <m/>
    <m/>
    <m/>
    <m/>
    <s v="Neonatal mortality rate at home"/>
    <m/>
    <x v="32"/>
    <x v="4"/>
    <m/>
    <x v="2"/>
    <m/>
    <m/>
    <m/>
  </r>
  <r>
    <s v="p_NM_home"/>
    <m/>
    <m/>
    <m/>
    <m/>
    <m/>
    <m/>
    <s v="Neonatal mortality rate at home"/>
    <m/>
    <x v="32"/>
    <x v="4"/>
    <m/>
    <x v="3"/>
    <m/>
    <m/>
    <m/>
  </r>
  <r>
    <s v="p_NM_home"/>
    <m/>
    <m/>
    <m/>
    <m/>
    <m/>
    <m/>
    <s v="Neonatal mortality rate at home"/>
    <m/>
    <x v="32"/>
    <x v="4"/>
    <m/>
    <x v="4"/>
    <m/>
    <m/>
    <m/>
  </r>
  <r>
    <s v="weight_facility_neo"/>
    <n v="3.15"/>
    <m/>
    <m/>
    <m/>
    <m/>
    <m/>
    <s v="Weight of facility in neonatal NMR"/>
    <m/>
    <x v="48"/>
    <x v="4"/>
    <m/>
    <x v="1"/>
    <m/>
    <m/>
    <m/>
  </r>
  <r>
    <s v="weight_facility_neo"/>
    <m/>
    <m/>
    <m/>
    <m/>
    <m/>
    <m/>
    <s v="Weight of facility in neonatal NMR"/>
    <m/>
    <x v="32"/>
    <x v="4"/>
    <m/>
    <x v="2"/>
    <m/>
    <m/>
    <m/>
  </r>
  <r>
    <s v="weight_facility_neo"/>
    <m/>
    <m/>
    <m/>
    <m/>
    <m/>
    <m/>
    <s v="Weight of facility in neonatal NMR"/>
    <m/>
    <x v="32"/>
    <x v="4"/>
    <m/>
    <x v="3"/>
    <m/>
    <m/>
    <m/>
  </r>
  <r>
    <s v="weight_facility_neo"/>
    <m/>
    <m/>
    <m/>
    <m/>
    <m/>
    <m/>
    <s v="Weight of facility in neonatal NMR"/>
    <m/>
    <x v="32"/>
    <x v="4"/>
    <m/>
    <x v="4"/>
    <m/>
    <m/>
    <m/>
  </r>
  <r>
    <s v="t_l23_l45_preterm"/>
    <n v="80.948499999999996"/>
    <m/>
    <m/>
    <m/>
    <m/>
    <m/>
    <s v="P(transfer L2/3 to L4/5 given preterm)"/>
    <s v=".809 in google sheets, assuming it is an intentional units change"/>
    <x v="45"/>
    <x v="4"/>
    <m/>
    <x v="1"/>
    <m/>
    <m/>
    <m/>
  </r>
  <r>
    <s v="t_l23_l45_preterm"/>
    <m/>
    <m/>
    <m/>
    <m/>
    <m/>
    <m/>
    <s v="P(transfer L2/3 to L4/5 given preterm)"/>
    <m/>
    <x v="32"/>
    <x v="4"/>
    <m/>
    <x v="2"/>
    <m/>
    <m/>
    <m/>
  </r>
  <r>
    <s v="t_l23_l45_preterm"/>
    <m/>
    <m/>
    <m/>
    <m/>
    <m/>
    <m/>
    <s v="P(transfer L2/3 to L4/5 given preterm)"/>
    <m/>
    <x v="32"/>
    <x v="4"/>
    <m/>
    <x v="3"/>
    <m/>
    <m/>
    <m/>
  </r>
  <r>
    <s v="t_l23_l45_preterm"/>
    <m/>
    <m/>
    <m/>
    <m/>
    <m/>
    <m/>
    <s v="P(transfer L2/3 to L4/5 given preterm)"/>
    <m/>
    <x v="32"/>
    <x v="4"/>
    <m/>
    <x v="4"/>
    <m/>
    <m/>
    <m/>
  </r>
  <r>
    <s v="t_l23_l45_notsevere"/>
    <n v="74.235799999999998"/>
    <m/>
    <m/>
    <m/>
    <m/>
    <m/>
    <s v="P(transfer L2/3 to L4/5 given not severe)"/>
    <s v=".742 in google sheets, assuming  its an intentional units change?"/>
    <x v="45"/>
    <x v="4"/>
    <m/>
    <x v="1"/>
    <m/>
    <m/>
    <m/>
  </r>
  <r>
    <s v="t_l23_l45_notsevere"/>
    <m/>
    <m/>
    <m/>
    <m/>
    <m/>
    <m/>
    <s v="P(transfer L2/3 to L4/5 given not severe)"/>
    <m/>
    <x v="32"/>
    <x v="4"/>
    <m/>
    <x v="2"/>
    <m/>
    <m/>
    <m/>
  </r>
  <r>
    <s v="t_l23_l45_notsevere"/>
    <m/>
    <m/>
    <m/>
    <m/>
    <m/>
    <m/>
    <s v="P(transfer L2/3 to L4/5 given not severe)"/>
    <m/>
    <x v="32"/>
    <x v="4"/>
    <m/>
    <x v="3"/>
    <m/>
    <m/>
    <m/>
  </r>
  <r>
    <s v="t_l23_l45_notsevere"/>
    <m/>
    <m/>
    <m/>
    <m/>
    <m/>
    <m/>
    <s v="P(transfer L2/3 to L4/5 given not severe)"/>
    <m/>
    <x v="32"/>
    <x v="4"/>
    <m/>
    <x v="4"/>
    <m/>
    <m/>
    <m/>
  </r>
  <r>
    <s v="t_l23_l45_severe"/>
    <n v="90"/>
    <m/>
    <m/>
    <m/>
    <m/>
    <m/>
    <s v="P(transfer L2/3 to L4/5 given severe)"/>
    <s v=".9 in google sheets, assuming  its an intentional units change?"/>
    <x v="45"/>
    <x v="4"/>
    <m/>
    <x v="1"/>
    <m/>
    <m/>
    <m/>
  </r>
  <r>
    <s v="t_l23_l45_severe"/>
    <m/>
    <m/>
    <m/>
    <m/>
    <m/>
    <m/>
    <s v="P(transfer L2/3 to L4/5 given severe)"/>
    <m/>
    <x v="32"/>
    <x v="4"/>
    <m/>
    <x v="2"/>
    <m/>
    <m/>
    <m/>
  </r>
  <r>
    <s v="t_l23_l45_severe"/>
    <m/>
    <m/>
    <m/>
    <m/>
    <m/>
    <m/>
    <s v="P(transfer L2/3 to L4/5 given severe)"/>
    <m/>
    <x v="32"/>
    <x v="4"/>
    <m/>
    <x v="3"/>
    <m/>
    <m/>
    <m/>
  </r>
  <r>
    <s v="t_l23_l45_severe"/>
    <m/>
    <m/>
    <m/>
    <m/>
    <m/>
    <m/>
    <s v="P(transfer L2/3 to L4/5 given severe)"/>
    <m/>
    <x v="32"/>
    <x v="4"/>
    <m/>
    <x v="4"/>
    <m/>
    <m/>
    <m/>
  </r>
  <r>
    <s v="base_LB"/>
    <n v="1977.42"/>
    <m/>
    <m/>
    <m/>
    <m/>
    <m/>
    <s v="Monthly live births at home (23729/12)"/>
    <m/>
    <x v="49"/>
    <x v="5"/>
    <n v="0"/>
    <x v="1"/>
    <s v="home"/>
    <m/>
    <m/>
  </r>
  <r>
    <s v="base_LB"/>
    <n v="1516.33"/>
    <m/>
    <m/>
    <m/>
    <m/>
    <m/>
    <s v="Monthly live births at L2/3 (18196/12)"/>
    <m/>
    <x v="50"/>
    <x v="5"/>
    <n v="1"/>
    <x v="1"/>
    <s v="L2/3"/>
    <m/>
    <m/>
  </r>
  <r>
    <s v="base_LB"/>
    <n v="1725.75"/>
    <m/>
    <m/>
    <m/>
    <m/>
    <m/>
    <s v="Monthly live births at L4 (20709/12)"/>
    <m/>
    <x v="50"/>
    <x v="5"/>
    <n v="2"/>
    <x v="1"/>
    <s v="L4"/>
    <m/>
    <m/>
  </r>
  <r>
    <s v="base_LB"/>
    <n v="427.17"/>
    <m/>
    <m/>
    <m/>
    <m/>
    <m/>
    <s v="Monthly live births at L5 (5126/12)"/>
    <m/>
    <x v="50"/>
    <x v="5"/>
    <n v="3"/>
    <x v="1"/>
    <s v="L5"/>
    <m/>
    <m/>
  </r>
  <r>
    <s v="base_LB"/>
    <m/>
    <m/>
    <m/>
    <m/>
    <m/>
    <m/>
    <s v="Monthly live births at home"/>
    <m/>
    <x v="32"/>
    <x v="5"/>
    <n v="0"/>
    <x v="2"/>
    <s v="home"/>
    <m/>
    <m/>
  </r>
  <r>
    <s v="base_LB"/>
    <m/>
    <m/>
    <m/>
    <m/>
    <m/>
    <m/>
    <s v="Monthly live births at L2/3"/>
    <s v="PROMPTS data: normal_deliveries"/>
    <x v="37"/>
    <x v="5"/>
    <n v="1"/>
    <x v="2"/>
    <s v="L2/3"/>
    <m/>
    <m/>
  </r>
  <r>
    <s v="base_LB"/>
    <m/>
    <m/>
    <m/>
    <m/>
    <m/>
    <m/>
    <s v="Monthly live births at L4"/>
    <s v="PROMPTS data: normal_deliveries"/>
    <x v="37"/>
    <x v="5"/>
    <n v="2"/>
    <x v="2"/>
    <s v="L4"/>
    <m/>
    <m/>
  </r>
  <r>
    <s v="base_LB"/>
    <m/>
    <m/>
    <m/>
    <m/>
    <m/>
    <m/>
    <s v="Monthly live births at L5"/>
    <s v="PROMPTS data: normal_deliveries"/>
    <x v="37"/>
    <x v="5"/>
    <n v="3"/>
    <x v="2"/>
    <s v="L5"/>
    <m/>
    <m/>
  </r>
  <r>
    <s v="base_LB"/>
    <m/>
    <m/>
    <m/>
    <m/>
    <m/>
    <m/>
    <s v="Monthly live births at home"/>
    <m/>
    <x v="32"/>
    <x v="5"/>
    <n v="0"/>
    <x v="3"/>
    <s v="home"/>
    <m/>
    <m/>
  </r>
  <r>
    <s v="base_LB"/>
    <m/>
    <m/>
    <m/>
    <m/>
    <m/>
    <m/>
    <s v="Monthly live births at L2/3"/>
    <s v="PROMPTS data: normal_deliveries"/>
    <x v="37"/>
    <x v="5"/>
    <n v="1"/>
    <x v="3"/>
    <s v="L2/3"/>
    <m/>
    <m/>
  </r>
  <r>
    <s v="base_LB"/>
    <m/>
    <m/>
    <m/>
    <m/>
    <m/>
    <m/>
    <s v="Monthly live births at L4"/>
    <s v="PROMPTS data: normal_deliveries"/>
    <x v="37"/>
    <x v="5"/>
    <n v="2"/>
    <x v="3"/>
    <s v="L4"/>
    <m/>
    <m/>
  </r>
  <r>
    <s v="base_LB"/>
    <m/>
    <m/>
    <m/>
    <m/>
    <m/>
    <m/>
    <s v="Monthly live births at L5"/>
    <s v="PROMPTS data: normal_deliveries"/>
    <x v="37"/>
    <x v="5"/>
    <n v="3"/>
    <x v="3"/>
    <s v="L5"/>
    <m/>
    <m/>
  </r>
  <r>
    <s v="base_LB"/>
    <m/>
    <m/>
    <m/>
    <m/>
    <m/>
    <m/>
    <s v="Monthly live births at home"/>
    <m/>
    <x v="32"/>
    <x v="5"/>
    <n v="0"/>
    <x v="4"/>
    <s v="home"/>
    <m/>
    <m/>
  </r>
  <r>
    <s v="base_LB"/>
    <m/>
    <m/>
    <m/>
    <m/>
    <m/>
    <m/>
    <s v="Monthly live births at L2/3"/>
    <s v="PROMPTS data: normal_deliveries"/>
    <x v="37"/>
    <x v="5"/>
    <n v="1"/>
    <x v="4"/>
    <s v="L2/3"/>
    <m/>
    <m/>
  </r>
  <r>
    <s v="base_LB"/>
    <m/>
    <m/>
    <m/>
    <m/>
    <m/>
    <m/>
    <s v="Monthly live births at L4"/>
    <s v="PROMPTS data: normal_deliveries"/>
    <x v="37"/>
    <x v="5"/>
    <n v="2"/>
    <x v="4"/>
    <s v="L4"/>
    <m/>
    <m/>
  </r>
  <r>
    <s v="base_LB"/>
    <m/>
    <m/>
    <m/>
    <m/>
    <m/>
    <m/>
    <s v="Monthly live births at L5"/>
    <s v="PROMPTS data: normal_deliveries"/>
    <x v="37"/>
    <x v="5"/>
    <n v="3"/>
    <x v="4"/>
    <s v="L5"/>
    <m/>
    <m/>
  </r>
  <r>
    <s v="S_pph_bundle"/>
    <n v="0"/>
    <m/>
    <m/>
    <m/>
    <m/>
    <m/>
    <s v="PPH bundle supply at home"/>
    <m/>
    <x v="51"/>
    <x v="5"/>
    <n v="0"/>
    <x v="1"/>
    <s v="home"/>
    <m/>
    <m/>
  </r>
  <r>
    <s v="S_pph_bundle"/>
    <n v="0"/>
    <m/>
    <m/>
    <m/>
    <m/>
    <m/>
    <s v="PPH bundle supply at L2/3"/>
    <m/>
    <x v="51"/>
    <x v="5"/>
    <n v="1"/>
    <x v="1"/>
    <s v="L2/3"/>
    <m/>
    <m/>
  </r>
  <r>
    <s v="S_pph_bundle"/>
    <n v="0"/>
    <m/>
    <m/>
    <m/>
    <m/>
    <m/>
    <s v="PPH bundle supply at L4"/>
    <s v="does not appear to be based on Kakamega, should be able to use across the other counties"/>
    <x v="51"/>
    <x v="5"/>
    <n v="2"/>
    <x v="1"/>
    <s v="L4"/>
    <m/>
    <m/>
  </r>
  <r>
    <s v="S_pph_bundle"/>
    <n v="0"/>
    <m/>
    <m/>
    <m/>
    <m/>
    <m/>
    <s v="PPH bundle supply at L5"/>
    <m/>
    <x v="51"/>
    <x v="5"/>
    <n v="3"/>
    <x v="1"/>
    <s v="L5"/>
    <m/>
    <m/>
  </r>
  <r>
    <s v="S_pph_bundle"/>
    <m/>
    <m/>
    <m/>
    <m/>
    <m/>
    <m/>
    <s v="PPH bundle supply at home"/>
    <m/>
    <x v="51"/>
    <x v="5"/>
    <n v="0"/>
    <x v="2"/>
    <s v="home"/>
    <m/>
    <m/>
  </r>
  <r>
    <s v="S_pph_bundle"/>
    <m/>
    <m/>
    <m/>
    <m/>
    <m/>
    <m/>
    <s v="PPH bundle supply at L2/3"/>
    <m/>
    <x v="51"/>
    <x v="5"/>
    <n v="1"/>
    <x v="2"/>
    <s v="L2/3"/>
    <m/>
    <m/>
  </r>
  <r>
    <s v="S_pph_bundle"/>
    <m/>
    <m/>
    <m/>
    <m/>
    <m/>
    <m/>
    <s v="PPH bundle supply at L4"/>
    <m/>
    <x v="51"/>
    <x v="5"/>
    <n v="2"/>
    <x v="2"/>
    <s v="L4"/>
    <m/>
    <m/>
  </r>
  <r>
    <s v="S_pph_bundle"/>
    <m/>
    <m/>
    <m/>
    <m/>
    <m/>
    <m/>
    <s v="PPH bundle supply at L5"/>
    <m/>
    <x v="51"/>
    <x v="5"/>
    <n v="3"/>
    <x v="2"/>
    <s v="L5"/>
    <m/>
    <m/>
  </r>
  <r>
    <s v="S_pph_bundle"/>
    <m/>
    <m/>
    <m/>
    <m/>
    <m/>
    <m/>
    <s v="PPH bundle supply at home"/>
    <m/>
    <x v="51"/>
    <x v="5"/>
    <n v="0"/>
    <x v="3"/>
    <s v="home"/>
    <m/>
    <m/>
  </r>
  <r>
    <s v="S_pph_bundle"/>
    <m/>
    <m/>
    <m/>
    <m/>
    <m/>
    <m/>
    <s v="PPH bundle supply at L2/3"/>
    <m/>
    <x v="51"/>
    <x v="5"/>
    <n v="1"/>
    <x v="3"/>
    <s v="L2/3"/>
    <m/>
    <m/>
  </r>
  <r>
    <s v="S_pph_bundle"/>
    <m/>
    <m/>
    <m/>
    <m/>
    <m/>
    <m/>
    <s v="PPH bundle supply at L4"/>
    <m/>
    <x v="51"/>
    <x v="5"/>
    <n v="2"/>
    <x v="3"/>
    <s v="L4"/>
    <m/>
    <m/>
  </r>
  <r>
    <s v="S_pph_bundle"/>
    <m/>
    <m/>
    <m/>
    <m/>
    <m/>
    <m/>
    <s v="PPH bundle supply at L5"/>
    <m/>
    <x v="51"/>
    <x v="5"/>
    <n v="3"/>
    <x v="3"/>
    <s v="L5"/>
    <m/>
    <m/>
  </r>
  <r>
    <s v="S_pph_bundle"/>
    <m/>
    <m/>
    <m/>
    <m/>
    <m/>
    <m/>
    <s v="PPH bundle supply at home"/>
    <m/>
    <x v="51"/>
    <x v="5"/>
    <n v="0"/>
    <x v="4"/>
    <s v="home"/>
    <m/>
    <m/>
  </r>
  <r>
    <s v="S_pph_bundle"/>
    <m/>
    <m/>
    <m/>
    <m/>
    <m/>
    <m/>
    <s v="PPH bundle supply at L2/3"/>
    <m/>
    <x v="51"/>
    <x v="5"/>
    <n v="1"/>
    <x v="4"/>
    <s v="L2/3"/>
    <m/>
    <m/>
  </r>
  <r>
    <s v="S_pph_bundle"/>
    <m/>
    <m/>
    <m/>
    <m/>
    <m/>
    <m/>
    <s v="PPH bundle supply at L4"/>
    <m/>
    <x v="51"/>
    <x v="5"/>
    <n v="2"/>
    <x v="4"/>
    <s v="L4"/>
    <m/>
    <m/>
  </r>
  <r>
    <s v="S_pph_bundle"/>
    <m/>
    <m/>
    <m/>
    <m/>
    <m/>
    <m/>
    <s v="PPH bundle supply at L5"/>
    <m/>
    <x v="51"/>
    <x v="5"/>
    <n v="3"/>
    <x v="4"/>
    <s v="L5"/>
    <m/>
    <m/>
  </r>
  <r>
    <s v="S_MgSO4"/>
    <n v="0"/>
    <m/>
    <m/>
    <m/>
    <m/>
    <m/>
    <s v="MgSO4 supply at home"/>
    <m/>
    <x v="52"/>
    <x v="5"/>
    <n v="0"/>
    <x v="1"/>
    <s v="home"/>
    <m/>
    <m/>
  </r>
  <r>
    <s v="S_MgSO4"/>
    <n v="0"/>
    <m/>
    <m/>
    <m/>
    <m/>
    <m/>
    <s v="MgSO4 supply at L2/3"/>
    <m/>
    <x v="52"/>
    <x v="5"/>
    <n v="1"/>
    <x v="1"/>
    <s v="L2/3"/>
    <m/>
    <m/>
  </r>
  <r>
    <s v="S_MgSO4"/>
    <n v="0.77"/>
    <m/>
    <m/>
    <m/>
    <m/>
    <m/>
    <s v="MgSO4 supply at L4"/>
    <s v="does not appear to be based on Kakamega, should be able to use across the other counties"/>
    <x v="52"/>
    <x v="5"/>
    <n v="2"/>
    <x v="1"/>
    <s v="L4"/>
    <m/>
    <m/>
  </r>
  <r>
    <s v="S_MgSO4"/>
    <n v="0.77"/>
    <m/>
    <m/>
    <m/>
    <m/>
    <m/>
    <s v="MgSO4 supply at L5"/>
    <m/>
    <x v="52"/>
    <x v="5"/>
    <n v="3"/>
    <x v="1"/>
    <s v="L5"/>
    <m/>
    <m/>
  </r>
  <r>
    <s v="S_MgSO4"/>
    <m/>
    <m/>
    <m/>
    <m/>
    <m/>
    <m/>
    <s v="MgSO4 supply at home"/>
    <m/>
    <x v="52"/>
    <x v="5"/>
    <n v="0"/>
    <x v="2"/>
    <s v="home"/>
    <m/>
    <m/>
  </r>
  <r>
    <s v="S_MgSO4"/>
    <m/>
    <m/>
    <m/>
    <m/>
    <m/>
    <m/>
    <s v="MgSO4 supply at L2/3"/>
    <m/>
    <x v="53"/>
    <x v="5"/>
    <n v="1"/>
    <x v="2"/>
    <s v="L2/3"/>
    <m/>
    <m/>
  </r>
  <r>
    <s v="S_MgSO4"/>
    <m/>
    <m/>
    <m/>
    <m/>
    <m/>
    <m/>
    <s v="MgSO4 supply at L4"/>
    <m/>
    <x v="54"/>
    <x v="5"/>
    <n v="2"/>
    <x v="2"/>
    <s v="L4"/>
    <m/>
    <m/>
  </r>
  <r>
    <s v="S_MgSO4"/>
    <m/>
    <m/>
    <m/>
    <m/>
    <m/>
    <m/>
    <s v="MgSO4 supply at L5"/>
    <m/>
    <x v="55"/>
    <x v="5"/>
    <n v="3"/>
    <x v="2"/>
    <s v="L5"/>
    <m/>
    <m/>
  </r>
  <r>
    <s v="S_MgSO4"/>
    <m/>
    <m/>
    <m/>
    <m/>
    <m/>
    <m/>
    <s v="MgSO4 supply at home"/>
    <m/>
    <x v="52"/>
    <x v="5"/>
    <n v="0"/>
    <x v="3"/>
    <s v="home"/>
    <m/>
    <m/>
  </r>
  <r>
    <s v="S_MgSO4"/>
    <m/>
    <m/>
    <m/>
    <m/>
    <m/>
    <m/>
    <s v="MgSO4 supply at L2/3"/>
    <m/>
    <x v="56"/>
    <x v="5"/>
    <n v="1"/>
    <x v="3"/>
    <s v="L2/3"/>
    <m/>
    <m/>
  </r>
  <r>
    <s v="S_MgSO4"/>
    <m/>
    <m/>
    <m/>
    <m/>
    <m/>
    <m/>
    <s v="MgSO4 supply at L4"/>
    <m/>
    <x v="57"/>
    <x v="5"/>
    <n v="2"/>
    <x v="3"/>
    <s v="L4"/>
    <m/>
    <m/>
  </r>
  <r>
    <s v="S_MgSO4"/>
    <m/>
    <m/>
    <m/>
    <m/>
    <m/>
    <m/>
    <s v="MgSO4 supply at L5"/>
    <m/>
    <x v="58"/>
    <x v="5"/>
    <n v="3"/>
    <x v="3"/>
    <s v="L5"/>
    <m/>
    <m/>
  </r>
  <r>
    <s v="S_MgSO4"/>
    <m/>
    <m/>
    <m/>
    <m/>
    <m/>
    <m/>
    <s v="MgSO4 supply at home"/>
    <m/>
    <x v="52"/>
    <x v="5"/>
    <n v="0"/>
    <x v="4"/>
    <s v="home"/>
    <m/>
    <m/>
  </r>
  <r>
    <s v="S_MgSO4"/>
    <m/>
    <m/>
    <m/>
    <m/>
    <m/>
    <m/>
    <s v="MgSO4 supply at L2/3"/>
    <m/>
    <x v="52"/>
    <x v="5"/>
    <n v="1"/>
    <x v="4"/>
    <s v="L2/3"/>
    <m/>
    <m/>
  </r>
  <r>
    <s v="S_MgSO4"/>
    <m/>
    <m/>
    <m/>
    <m/>
    <m/>
    <m/>
    <s v="MgSO4 supply at L4"/>
    <m/>
    <x v="52"/>
    <x v="5"/>
    <n v="2"/>
    <x v="4"/>
    <s v="L4"/>
    <m/>
    <m/>
  </r>
  <r>
    <s v="S_MgSO4"/>
    <m/>
    <m/>
    <m/>
    <m/>
    <m/>
    <m/>
    <s v="MgSO4 supply at L5"/>
    <m/>
    <x v="52"/>
    <x v="5"/>
    <n v="3"/>
    <x v="4"/>
    <s v="L5"/>
    <m/>
    <m/>
  </r>
  <r>
    <s v="S_antibiotics"/>
    <n v="0"/>
    <m/>
    <m/>
    <m/>
    <m/>
    <m/>
    <s v="Antibiotics supply at home"/>
    <m/>
    <x v="59"/>
    <x v="5"/>
    <n v="0"/>
    <x v="1"/>
    <s v="home"/>
    <m/>
    <m/>
  </r>
  <r>
    <s v="S_antibiotics"/>
    <n v="0"/>
    <m/>
    <m/>
    <m/>
    <m/>
    <m/>
    <s v="Antibiotics supply at L2/3"/>
    <m/>
    <x v="59"/>
    <x v="5"/>
    <n v="1"/>
    <x v="1"/>
    <s v="L2/3"/>
    <m/>
    <m/>
  </r>
  <r>
    <s v="S_antibiotics"/>
    <n v="0.48"/>
    <m/>
    <m/>
    <m/>
    <m/>
    <m/>
    <s v="Antibiotics supply at L4"/>
    <s v="does not appear to be based on Kakamega, should be able to use across the other counties"/>
    <x v="59"/>
    <x v="5"/>
    <n v="2"/>
    <x v="1"/>
    <s v="L4"/>
    <m/>
    <m/>
  </r>
  <r>
    <s v="S_antibiotics"/>
    <n v="0.48"/>
    <m/>
    <m/>
    <m/>
    <m/>
    <m/>
    <s v="Antibiotics supply at L5"/>
    <m/>
    <x v="59"/>
    <x v="5"/>
    <n v="3"/>
    <x v="1"/>
    <s v="L5"/>
    <m/>
    <m/>
  </r>
  <r>
    <s v="S_antibiotics"/>
    <m/>
    <m/>
    <m/>
    <m/>
    <m/>
    <m/>
    <s v="Antibiotics supply at home"/>
    <m/>
    <x v="59"/>
    <x v="5"/>
    <n v="0"/>
    <x v="2"/>
    <s v="home"/>
    <m/>
    <m/>
  </r>
  <r>
    <s v="S_antibiotics"/>
    <n v="0"/>
    <m/>
    <m/>
    <m/>
    <s v="Yes/No "/>
    <m/>
    <s v="Antibiotics supply at L2/3"/>
    <m/>
    <x v="60"/>
    <x v="5"/>
    <n v="1"/>
    <x v="2"/>
    <s v="L2/3"/>
    <m/>
    <m/>
  </r>
  <r>
    <s v="S_antibiotics"/>
    <n v="10"/>
    <m/>
    <m/>
    <m/>
    <s v="Yes/No "/>
    <m/>
    <s v="Antibiotics supply at L4"/>
    <m/>
    <x v="61"/>
    <x v="5"/>
    <n v="2"/>
    <x v="2"/>
    <s v="L4"/>
    <m/>
    <m/>
  </r>
  <r>
    <s v="S_antibiotics"/>
    <n v="1"/>
    <m/>
    <m/>
    <m/>
    <s v="Yes/No "/>
    <m/>
    <s v="Antibiotics supply at L5"/>
    <m/>
    <x v="62"/>
    <x v="5"/>
    <n v="3"/>
    <x v="2"/>
    <s v="L5"/>
    <m/>
    <m/>
  </r>
  <r>
    <s v="S_antibiotics"/>
    <m/>
    <m/>
    <m/>
    <m/>
    <m/>
    <m/>
    <s v="Antibiotics supply at home"/>
    <m/>
    <x v="59"/>
    <x v="5"/>
    <n v="0"/>
    <x v="3"/>
    <s v="home"/>
    <m/>
    <m/>
  </r>
  <r>
    <s v="S_antibiotics"/>
    <n v="0"/>
    <m/>
    <m/>
    <m/>
    <s v="Yes/No "/>
    <m/>
    <s v="Antibiotics supply at L2/3"/>
    <m/>
    <x v="62"/>
    <x v="5"/>
    <n v="1"/>
    <x v="3"/>
    <s v="L2/3"/>
    <m/>
    <m/>
  </r>
  <r>
    <s v="S_antibiotics"/>
    <n v="11"/>
    <m/>
    <m/>
    <m/>
    <s v="Yes/No "/>
    <m/>
    <s v="Antibiotics supply at L4"/>
    <m/>
    <x v="62"/>
    <x v="5"/>
    <n v="2"/>
    <x v="3"/>
    <s v="L4"/>
    <m/>
    <m/>
  </r>
  <r>
    <s v="S_antibiotics"/>
    <n v="0"/>
    <m/>
    <m/>
    <m/>
    <s v="Yes/No "/>
    <m/>
    <s v="Antibiotics supply at L5"/>
    <m/>
    <x v="62"/>
    <x v="5"/>
    <n v="3"/>
    <x v="3"/>
    <s v="L5"/>
    <m/>
    <m/>
  </r>
  <r>
    <s v="S_antibiotics"/>
    <m/>
    <m/>
    <m/>
    <m/>
    <m/>
    <m/>
    <s v="Antibiotics supply at home"/>
    <m/>
    <x v="59"/>
    <x v="5"/>
    <n v="0"/>
    <x v="4"/>
    <s v="home"/>
    <m/>
    <m/>
  </r>
  <r>
    <s v="S_antibiotics"/>
    <n v="8"/>
    <m/>
    <m/>
    <m/>
    <s v="Yes/No "/>
    <m/>
    <s v="Antibiotics supply at L2/3"/>
    <m/>
    <x v="62"/>
    <x v="5"/>
    <n v="1"/>
    <x v="4"/>
    <s v="L2/3"/>
    <m/>
    <m/>
  </r>
  <r>
    <s v="S_antibiotics"/>
    <n v="4"/>
    <m/>
    <m/>
    <m/>
    <s v="Yes/No "/>
    <m/>
    <s v="Antibiotics supply at L4"/>
    <m/>
    <x v="62"/>
    <x v="5"/>
    <n v="2"/>
    <x v="4"/>
    <s v="L4"/>
    <m/>
    <m/>
  </r>
  <r>
    <s v="S_antibiotics"/>
    <n v="1"/>
    <m/>
    <m/>
    <m/>
    <s v="Yes/No "/>
    <m/>
    <s v="Antibiotics supply at L5"/>
    <m/>
    <x v="62"/>
    <x v="5"/>
    <n v="3"/>
    <x v="4"/>
    <s v="L5"/>
    <m/>
    <m/>
  </r>
  <r>
    <s v="S_oxytocin_l45"/>
    <n v="0.78"/>
    <n v="0.70599999999999996"/>
    <n v="0.85399999999999998"/>
    <n v="120"/>
    <s v="proportion"/>
    <m/>
    <s v="Oxytocin supply at L4/5"/>
    <s v="does not appear to be based on Kakamega, should be able to use across the other counties"/>
    <x v="63"/>
    <x v="5"/>
    <n v="0"/>
    <x v="1"/>
    <s v="L4/5"/>
    <m/>
    <m/>
  </r>
  <r>
    <s v="S_oxytocin_l45"/>
    <m/>
    <m/>
    <m/>
    <m/>
    <m/>
    <m/>
    <s v="Oxytocin supply at L4/5"/>
    <m/>
    <x v="63"/>
    <x v="5"/>
    <n v="0"/>
    <x v="2"/>
    <s v="L4/5"/>
    <m/>
    <m/>
  </r>
  <r>
    <s v="S_oxytocin_l45"/>
    <m/>
    <m/>
    <m/>
    <m/>
    <m/>
    <m/>
    <s v="Oxytocin supply at L4/5"/>
    <m/>
    <x v="63"/>
    <x v="5"/>
    <n v="0"/>
    <x v="3"/>
    <s v="L4/5"/>
    <m/>
    <m/>
  </r>
  <r>
    <s v="S_oxytocin_l45"/>
    <m/>
    <m/>
    <m/>
    <m/>
    <m/>
    <m/>
    <s v="Oxytocin supply at L4/5"/>
    <m/>
    <x v="63"/>
    <x v="5"/>
    <n v="0"/>
    <x v="4"/>
    <s v="L4/5"/>
    <m/>
    <m/>
  </r>
  <r>
    <s v="S_preterm_treat_l45"/>
    <n v="0.35"/>
    <n v="0.28499999999999998"/>
    <n v="0.41499999999999998"/>
    <n v="206"/>
    <s v="proportion"/>
    <m/>
    <s v="Preterm treatment supply at L4/5"/>
    <s v="based on Kenyetta City hospital which appears to be in Nairobi, so should be able to use across the other counties"/>
    <x v="64"/>
    <x v="5"/>
    <n v="0"/>
    <x v="1"/>
    <s v="L4/5"/>
    <m/>
    <m/>
  </r>
  <r>
    <s v="S_preterm_treat_l45"/>
    <m/>
    <m/>
    <m/>
    <m/>
    <m/>
    <m/>
    <s v="Preterm treatment supply at L4/5"/>
    <m/>
    <x v="64"/>
    <x v="5"/>
    <n v="0"/>
    <x v="2"/>
    <s v="L4/5"/>
    <m/>
    <m/>
  </r>
  <r>
    <s v="S_preterm_treat_l45"/>
    <m/>
    <m/>
    <m/>
    <m/>
    <m/>
    <m/>
    <s v="Preterm treatment supply at L4/5"/>
    <m/>
    <x v="64"/>
    <x v="5"/>
    <n v="0"/>
    <x v="3"/>
    <s v="L4/5"/>
    <m/>
    <m/>
  </r>
  <r>
    <s v="S_preterm_treat_l45"/>
    <m/>
    <m/>
    <m/>
    <m/>
    <m/>
    <m/>
    <s v="Preterm treatment supply at L4/5"/>
    <m/>
    <x v="64"/>
    <x v="5"/>
    <n v="0"/>
    <x v="4"/>
    <s v="L4/5"/>
    <m/>
    <m/>
  </r>
  <r>
    <s v="S_iv_iron"/>
    <n v="0.44"/>
    <m/>
    <m/>
    <m/>
    <m/>
    <m/>
    <s v="IV iron supply"/>
    <s v="this is listed as for 4/5 only in google sheets; also this includes Kenya + other countries so it seems like it should be able to be used across the other counties"/>
    <x v="65"/>
    <x v="5"/>
    <n v="0"/>
    <x v="1"/>
    <s v="all"/>
    <m/>
    <m/>
  </r>
  <r>
    <s v="S_iv_iron"/>
    <m/>
    <m/>
    <m/>
    <m/>
    <m/>
    <m/>
    <s v="IV iron supply"/>
    <m/>
    <x v="65"/>
    <x v="5"/>
    <n v="0"/>
    <x v="2"/>
    <s v="all"/>
    <m/>
    <m/>
  </r>
  <r>
    <s v="S_iv_iron"/>
    <m/>
    <m/>
    <m/>
    <m/>
    <m/>
    <m/>
    <s v="IV iron supply"/>
    <m/>
    <x v="65"/>
    <x v="5"/>
    <n v="0"/>
    <x v="3"/>
    <s v="all"/>
    <m/>
    <m/>
  </r>
  <r>
    <s v="S_iv_iron"/>
    <m/>
    <m/>
    <m/>
    <m/>
    <m/>
    <m/>
    <s v="IV iron supply"/>
    <m/>
    <x v="65"/>
    <x v="5"/>
    <n v="0"/>
    <x v="4"/>
    <s v="all"/>
    <m/>
    <m/>
  </r>
  <r>
    <s v="count"/>
    <n v="187"/>
    <m/>
    <m/>
    <m/>
    <m/>
    <m/>
    <m/>
    <s v="note: 'Facility Indicators'—Number of level 2,3,4,5 facilit"/>
    <x v="66"/>
    <x v="6"/>
    <m/>
    <x v="1"/>
    <s v="L2/3"/>
    <m/>
    <m/>
  </r>
  <r>
    <s v="count"/>
    <n v="17"/>
    <m/>
    <m/>
    <m/>
    <m/>
    <m/>
    <m/>
    <s v="note: 'Facility Indicators'—Number of level 2,3,4,5 facilit"/>
    <x v="66"/>
    <x v="6"/>
    <m/>
    <x v="1"/>
    <s v="L4"/>
    <m/>
    <m/>
  </r>
  <r>
    <s v="count"/>
    <n v="1"/>
    <m/>
    <m/>
    <m/>
    <m/>
    <m/>
    <m/>
    <s v="note: 'Facility Indicators'—Number of level 2,3,4,5 facilit"/>
    <x v="66"/>
    <x v="6"/>
    <m/>
    <x v="1"/>
    <s v="L5"/>
    <m/>
    <m/>
  </r>
  <r>
    <s v="count"/>
    <n v="291"/>
    <m/>
    <m/>
    <m/>
    <m/>
    <m/>
    <m/>
    <s v="note: 'Facility Indicators'—Number of level 2,3,4,5 facilit"/>
    <x v="67"/>
    <x v="6"/>
    <m/>
    <x v="2"/>
    <s v="L2/3"/>
    <m/>
    <m/>
  </r>
  <r>
    <s v="count"/>
    <n v="50"/>
    <m/>
    <m/>
    <m/>
    <m/>
    <m/>
    <m/>
    <s v="note: 'Facility Indicators'—Number of level 2,3,4,5 facilit"/>
    <x v="67"/>
    <x v="6"/>
    <m/>
    <x v="2"/>
    <s v="L4"/>
    <m/>
    <m/>
  </r>
  <r>
    <s v="count"/>
    <n v="4"/>
    <m/>
    <m/>
    <m/>
    <m/>
    <m/>
    <m/>
    <s v="note: 'Facility Indicators'—Number of level 2,3,4,5 facilit"/>
    <x v="67"/>
    <x v="6"/>
    <m/>
    <x v="2"/>
    <s v="L5"/>
    <m/>
    <m/>
  </r>
  <r>
    <s v="count"/>
    <n v="337"/>
    <m/>
    <m/>
    <m/>
    <m/>
    <m/>
    <m/>
    <s v="note: 'Facility Indicators'—Number of level 2,3,4,5 facilit"/>
    <x v="67"/>
    <x v="6"/>
    <m/>
    <x v="3"/>
    <s v="L2/3"/>
    <m/>
    <m/>
  </r>
  <r>
    <s v="count"/>
    <n v="25"/>
    <m/>
    <m/>
    <m/>
    <m/>
    <m/>
    <m/>
    <s v="note: 'Facility Indicators'—Number of level 2,3,4,5 facilit"/>
    <x v="67"/>
    <x v="6"/>
    <m/>
    <x v="3"/>
    <s v="L4"/>
    <m/>
    <m/>
  </r>
  <r>
    <s v="count"/>
    <n v="0"/>
    <m/>
    <m/>
    <m/>
    <m/>
    <m/>
    <m/>
    <s v="note: 'Facility Indicators'—Number of level 2,3,4,5 facilit"/>
    <x v="67"/>
    <x v="6"/>
    <m/>
    <x v="3"/>
    <s v="L5"/>
    <m/>
    <m/>
  </r>
  <r>
    <s v="count"/>
    <n v="389"/>
    <m/>
    <m/>
    <m/>
    <m/>
    <m/>
    <m/>
    <s v="note: 'Facility Indicators'—Number of level 2,3,4,5 facilit"/>
    <x v="67"/>
    <x v="6"/>
    <m/>
    <x v="4"/>
    <s v="L2/3"/>
    <m/>
    <m/>
  </r>
  <r>
    <s v="count"/>
    <n v="36"/>
    <m/>
    <m/>
    <m/>
    <m/>
    <m/>
    <m/>
    <s v="note: 'Facility Indicators'—Number of level 2,3,4,5 facilit"/>
    <x v="67"/>
    <x v="6"/>
    <m/>
    <x v="4"/>
    <s v="L4"/>
    <m/>
    <m/>
  </r>
  <r>
    <s v="count"/>
    <n v="1"/>
    <m/>
    <m/>
    <m/>
    <m/>
    <m/>
    <m/>
    <s v="note: 'Facility Indicators'—Number of level 2,3,4,5 facilit"/>
    <x v="67"/>
    <x v="6"/>
    <m/>
    <x v="4"/>
    <s v="L5"/>
    <m/>
    <m/>
  </r>
  <r>
    <s v="num_dopplers"/>
    <n v="169"/>
    <m/>
    <m/>
    <m/>
    <m/>
    <m/>
    <m/>
    <s v="note: 'Facility Indicators'—Fetal doppler Equipment; disregard NA values; num_dopplers = count*proportion_num_dopplers"/>
    <x v="66"/>
    <x v="6"/>
    <m/>
    <x v="1"/>
    <s v="L2/3"/>
    <m/>
    <m/>
  </r>
  <r>
    <s v="num_dopplers"/>
    <n v="34"/>
    <m/>
    <m/>
    <m/>
    <m/>
    <m/>
    <m/>
    <s v="note: 'Facility Indicators'—Fetal doppler Equipment; disregard NA values; num_dopplers = count*proportion_num_dopplers"/>
    <x v="66"/>
    <x v="6"/>
    <m/>
    <x v="1"/>
    <s v="L4"/>
    <m/>
    <m/>
  </r>
  <r>
    <s v="num_dopplers"/>
    <n v="2"/>
    <m/>
    <m/>
    <m/>
    <m/>
    <m/>
    <m/>
    <s v="note: 'Facility Indicators'—Fetal doppler Equipment; disregard NA values; num_dopplers = count*proportion_num_dopplers"/>
    <x v="66"/>
    <x v="6"/>
    <m/>
    <x v="1"/>
    <s v="L5"/>
    <m/>
    <m/>
  </r>
  <r>
    <s v="num_dopplers"/>
    <n v="291"/>
    <m/>
    <m/>
    <m/>
    <m/>
    <m/>
    <m/>
    <s v="note: 'Facility Indicators'—Fetal doppler Equipment; disregard NA values; num_dopplers = count*proportion_num_dopplers"/>
    <x v="67"/>
    <x v="6"/>
    <m/>
    <x v="2"/>
    <s v="L2/3"/>
    <m/>
    <m/>
  </r>
  <r>
    <s v="num_dopplers"/>
    <n v="46.153846153846153"/>
    <m/>
    <m/>
    <m/>
    <m/>
    <m/>
    <m/>
    <s v="note: 'Facility Indicators'—Fetal doppler Equipment; disregard NA values; num_dopplers = count*proportion_num_dopplers"/>
    <x v="67"/>
    <x v="6"/>
    <m/>
    <x v="2"/>
    <s v="L4"/>
    <m/>
    <m/>
  </r>
  <r>
    <s v="num_dopplers"/>
    <n v="4"/>
    <m/>
    <m/>
    <m/>
    <m/>
    <m/>
    <m/>
    <s v="note: 'Facility Indicators'—Fetal doppler Equipment; disregard NA values; num_dopplers = count*proportion_num_dopplers"/>
    <x v="67"/>
    <x v="6"/>
    <m/>
    <x v="2"/>
    <s v="L5"/>
    <m/>
    <m/>
  </r>
  <r>
    <s v="num_dopplers"/>
    <n v="0"/>
    <m/>
    <m/>
    <m/>
    <m/>
    <m/>
    <m/>
    <s v="note: 'Facility Indicators'—Fetal doppler Equipment; disregard NA values; num_dopplers = count*proportion_num_dopplers"/>
    <x v="67"/>
    <x v="6"/>
    <m/>
    <x v="3"/>
    <s v="L2/3"/>
    <m/>
    <m/>
  </r>
  <r>
    <s v="num_dopplers"/>
    <n v="22.727272727272727"/>
    <m/>
    <m/>
    <m/>
    <m/>
    <m/>
    <m/>
    <s v="note: 'Facility Indicators'—Fetal doppler Equipment; disregard NA values; num_dopplers = count*proportion_num_dopplers"/>
    <x v="67"/>
    <x v="6"/>
    <m/>
    <x v="3"/>
    <s v="L4"/>
    <m/>
    <m/>
  </r>
  <r>
    <s v="num_dopplers"/>
    <n v="0"/>
    <m/>
    <m/>
    <m/>
    <m/>
    <m/>
    <m/>
    <s v="note: 'Facility Indicators'—Fetal doppler Equipment; disregard NA values; num_dopplers = count*proportion_num_dopplers"/>
    <x v="67"/>
    <x v="6"/>
    <m/>
    <x v="3"/>
    <s v="L5"/>
    <m/>
    <m/>
  </r>
  <r>
    <s v="num_dopplers"/>
    <n v="0"/>
    <m/>
    <m/>
    <m/>
    <m/>
    <m/>
    <m/>
    <s v="note: 'Facility Indicators'—Fetal doppler Equipment; disregard NA values; num_dopplers = count*proportion_num_dopplers"/>
    <x v="67"/>
    <x v="6"/>
    <m/>
    <x v="4"/>
    <s v="L2/3"/>
    <m/>
    <m/>
  </r>
  <r>
    <s v="num_dopplers"/>
    <n v="72"/>
    <m/>
    <m/>
    <m/>
    <m/>
    <m/>
    <m/>
    <s v="note: 'Facility Indicators'—Fetal doppler Equipment; disregard NA values; num_dopplers = count*proportion_num_dopplers"/>
    <x v="67"/>
    <x v="6"/>
    <m/>
    <x v="4"/>
    <s v="L4"/>
    <m/>
    <m/>
  </r>
  <r>
    <s v="num_dopplers"/>
    <n v="3"/>
    <m/>
    <m/>
    <m/>
    <m/>
    <m/>
    <m/>
    <s v="note: 'Facility Indicators'—Fetal doppler Equipment; disregard NA values; num_dopplers = count*proportion_num_dopplers"/>
    <x v="67"/>
    <x v="6"/>
    <m/>
    <x v="4"/>
    <s v="L5"/>
    <m/>
    <m/>
  </r>
  <r>
    <s v="num_CTGs"/>
    <n v="0"/>
    <m/>
    <m/>
    <m/>
    <m/>
    <m/>
    <m/>
    <s v="note: '2024_Kisii FQA'—Raw_Data; disregard NA values; num_CTGs = count*proportion_num_CTGs"/>
    <x v="66"/>
    <x v="6"/>
    <m/>
    <x v="1"/>
    <s v="L2/3"/>
    <m/>
    <m/>
  </r>
  <r>
    <s v="num_CTGs"/>
    <n v="0"/>
    <m/>
    <m/>
    <m/>
    <m/>
    <m/>
    <m/>
    <s v="note: '2024_Kisii FQA'—Raw_Data; disregard NA values; num_CTGs = count*proportion_num_CTGs"/>
    <x v="66"/>
    <x v="6"/>
    <m/>
    <x v="1"/>
    <s v="L4"/>
    <m/>
    <m/>
  </r>
  <r>
    <s v="num_CTGs"/>
    <n v="0"/>
    <m/>
    <m/>
    <m/>
    <m/>
    <m/>
    <m/>
    <s v="note: '2024_Kisii FQA'—Raw_Data; disregard NA values; num_CTGs = count*proportion_num_CTGs"/>
    <x v="66"/>
    <x v="6"/>
    <m/>
    <x v="1"/>
    <s v="L5"/>
    <m/>
    <m/>
  </r>
  <r>
    <s v="num_CTGs"/>
    <n v="0"/>
    <m/>
    <m/>
    <m/>
    <m/>
    <m/>
    <m/>
    <s v="note: '2024_Kisii FQA'—Raw_Data; disregard NA values; num_CTGs = count*proportion_num_CTGs"/>
    <x v="67"/>
    <x v="6"/>
    <m/>
    <x v="2"/>
    <s v="L2/3"/>
    <m/>
    <m/>
  </r>
  <r>
    <s v="num_CTGs"/>
    <n v="3.3333333333333335"/>
    <m/>
    <m/>
    <m/>
    <m/>
    <m/>
    <m/>
    <s v="note: '2024_Kisii FQA'—Raw_Data; disregard NA values; num_CTGs = count*proportion_num_CTGs"/>
    <x v="67"/>
    <x v="6"/>
    <m/>
    <x v="2"/>
    <s v="L4"/>
    <m/>
    <m/>
  </r>
  <r>
    <s v="num_CTGs"/>
    <n v="0"/>
    <m/>
    <m/>
    <m/>
    <m/>
    <m/>
    <m/>
    <s v="note: '2024_Kisii FQA'—Raw_Data; disregard NA values; num_CTGs = count*proportion_num_CTGs"/>
    <x v="67"/>
    <x v="6"/>
    <m/>
    <x v="2"/>
    <s v="L5"/>
    <m/>
    <m/>
  </r>
  <r>
    <s v="num_CTGs"/>
    <n v="0"/>
    <m/>
    <m/>
    <m/>
    <m/>
    <m/>
    <m/>
    <s v="note: '2024_Kisii FQA'—Raw_Data; disregard NA values; num_CTGs = count*proportion_num_CTGs"/>
    <x v="67"/>
    <x v="6"/>
    <m/>
    <x v="3"/>
    <s v="L2/3"/>
    <m/>
    <m/>
  </r>
  <r>
    <s v="num_CTGs"/>
    <n v="0"/>
    <m/>
    <m/>
    <m/>
    <m/>
    <m/>
    <m/>
    <s v="note: '2024_Kisii FQA'—Raw_Data; disregard NA values; num_CTGs = count*proportion_num_CTGs"/>
    <x v="67"/>
    <x v="6"/>
    <m/>
    <x v="3"/>
    <s v="L4"/>
    <m/>
    <m/>
  </r>
  <r>
    <s v="num_CTGs"/>
    <n v="0"/>
    <m/>
    <m/>
    <m/>
    <m/>
    <m/>
    <m/>
    <s v="note: '2024_Kisii FQA'—Raw_Data; disregard NA values; num_CTGs = count*proportion_num_CTGs"/>
    <x v="67"/>
    <x v="6"/>
    <m/>
    <x v="3"/>
    <s v="L5"/>
    <m/>
    <m/>
  </r>
  <r>
    <s v="num_CTGs"/>
    <m/>
    <m/>
    <m/>
    <m/>
    <m/>
    <m/>
    <m/>
    <s v="note: '2024_Kisii FQA'—Raw_Data; disregard NA values; num_CTGs = count*proportion_num_CTGs"/>
    <x v="67"/>
    <x v="6"/>
    <m/>
    <x v="4"/>
    <s v="L2/3"/>
    <m/>
    <m/>
  </r>
  <r>
    <s v="num_CTGs"/>
    <m/>
    <m/>
    <m/>
    <m/>
    <m/>
    <m/>
    <m/>
    <s v="note: '2024_Kisii FQA'—Raw_Data; disregard NA values; num_CTGs = count*proportion_num_CTGs"/>
    <x v="67"/>
    <x v="6"/>
    <m/>
    <x v="4"/>
    <s v="L4"/>
    <m/>
    <m/>
  </r>
  <r>
    <s v="num_CTGs"/>
    <m/>
    <m/>
    <m/>
    <m/>
    <m/>
    <m/>
    <m/>
    <s v="note: '2024_Kisii FQA'—Raw_Data; disregard NA values; num_CTGs = count*proportion_num_CTGs"/>
    <x v="67"/>
    <x v="6"/>
    <m/>
    <x v="4"/>
    <s v="L5"/>
    <m/>
    <m/>
  </r>
  <r>
    <s v="num_surgical"/>
    <n v="0"/>
    <m/>
    <m/>
    <m/>
    <m/>
    <m/>
    <m/>
    <s v="note: '2024_Kisii FQA'—Raw_Data; disregard blank values; num_CTGs = count*proportion_num_surgical"/>
    <x v="66"/>
    <x v="6"/>
    <m/>
    <x v="1"/>
    <s v="L2/3"/>
    <m/>
    <m/>
  </r>
  <r>
    <s v="num_surgical"/>
    <n v="25"/>
    <m/>
    <m/>
    <m/>
    <m/>
    <m/>
    <m/>
    <s v="note: '2024_Kisii FQA'—Raw_Data; disregard blank values; num_CTGs = count*proportion_num_surgical"/>
    <x v="66"/>
    <x v="6"/>
    <m/>
    <x v="1"/>
    <s v="L4"/>
    <m/>
    <m/>
  </r>
  <r>
    <s v="num_surgical"/>
    <n v="7"/>
    <m/>
    <m/>
    <m/>
    <m/>
    <m/>
    <m/>
    <s v="note: '2024_Kisii FQA'—Raw_Data; disregard blank values; num_CTGs = count*proportion_num_surgical"/>
    <x v="66"/>
    <x v="6"/>
    <m/>
    <x v="1"/>
    <s v="L5"/>
    <m/>
    <m/>
  </r>
  <r>
    <s v="num_surgical"/>
    <n v="0"/>
    <m/>
    <m/>
    <m/>
    <m/>
    <m/>
    <m/>
    <s v="note: '2024_Kisii FQA'—Raw_Data; disregard blank values; num_CTGs = count*proportion_num_surgical"/>
    <x v="67"/>
    <x v="6"/>
    <m/>
    <x v="2"/>
    <s v="L2/3"/>
    <m/>
    <m/>
  </r>
  <r>
    <s v="num_surgical"/>
    <n v="6.666666666666667"/>
    <m/>
    <m/>
    <m/>
    <m/>
    <m/>
    <m/>
    <s v="note: '2024_Kisii FQA'—Raw_Data; disregard blank values; num_CTGs = count*proportion_num_surgical"/>
    <x v="67"/>
    <x v="6"/>
    <m/>
    <x v="2"/>
    <s v="L4"/>
    <m/>
    <m/>
  </r>
  <r>
    <s v="num_surgical"/>
    <n v="0"/>
    <m/>
    <m/>
    <m/>
    <m/>
    <m/>
    <m/>
    <s v="note: '2024_Kisii FQA'—Raw_Data; disregard blank values; num_CTGs = count*proportion_num_surgical"/>
    <x v="67"/>
    <x v="6"/>
    <m/>
    <x v="2"/>
    <s v="L5"/>
    <m/>
    <m/>
  </r>
  <r>
    <s v="num_surgical"/>
    <n v="0"/>
    <m/>
    <m/>
    <m/>
    <m/>
    <m/>
    <m/>
    <s v="note: '2024_Kisii FQA'—Raw_Data; disregard blank values; num_CTGs = count*proportion_num_surgical"/>
    <x v="67"/>
    <x v="6"/>
    <m/>
    <x v="3"/>
    <s v="L2/3"/>
    <m/>
    <m/>
  </r>
  <r>
    <s v="num_surgical"/>
    <n v="5.7692307692307692"/>
    <m/>
    <m/>
    <m/>
    <m/>
    <m/>
    <m/>
    <s v="note: '2024_Kisii FQA'—Raw_Data; disregard blank values; num_CTGs = count*proportion_num_surgical"/>
    <x v="67"/>
    <x v="6"/>
    <m/>
    <x v="3"/>
    <s v="L4"/>
    <m/>
    <m/>
  </r>
  <r>
    <s v="num_surgical"/>
    <n v="0"/>
    <m/>
    <m/>
    <m/>
    <m/>
    <m/>
    <m/>
    <s v="note: '2024_Kisii FQA'—Raw_Data; disregard blank values; num_CTGs = count*proportion_num_surgical"/>
    <x v="67"/>
    <x v="6"/>
    <m/>
    <x v="3"/>
    <s v="L5"/>
    <m/>
    <m/>
  </r>
  <r>
    <s v="num_surgical"/>
    <m/>
    <m/>
    <m/>
    <m/>
    <m/>
    <m/>
    <m/>
    <s v="note: '2024_Kisii FQA'—Raw_Data; disregard blank values; num_CTGs = count*proportion_num_surgical"/>
    <x v="67"/>
    <x v="6"/>
    <m/>
    <x v="4"/>
    <s v="L2/3"/>
    <m/>
    <m/>
  </r>
  <r>
    <s v="num_surgical"/>
    <m/>
    <m/>
    <m/>
    <m/>
    <m/>
    <m/>
    <m/>
    <s v="note: '2024_Kisii FQA'—Raw_Data; disregard blank values; num_CTGs = count*proportion_num_surgical"/>
    <x v="67"/>
    <x v="6"/>
    <m/>
    <x v="4"/>
    <s v="L4"/>
    <m/>
    <m/>
  </r>
  <r>
    <s v="num_surgical"/>
    <m/>
    <m/>
    <m/>
    <m/>
    <m/>
    <m/>
    <m/>
    <s v="note: '2024_Kisii FQA'—Raw_Data; disregard blank values; num_CTGs = count*proportion_num_surgical"/>
    <x v="67"/>
    <x v="6"/>
    <m/>
    <x v="4"/>
    <s v="L5"/>
    <m/>
    <m/>
  </r>
  <r>
    <s v="num_MOs"/>
    <m/>
    <m/>
    <m/>
    <m/>
    <m/>
    <m/>
    <m/>
    <m/>
    <x v="32"/>
    <x v="6"/>
    <m/>
    <x v="1"/>
    <s v="L2/3"/>
    <m/>
    <m/>
  </r>
  <r>
    <s v="num_MOs"/>
    <m/>
    <m/>
    <m/>
    <m/>
    <m/>
    <m/>
    <m/>
    <m/>
    <x v="32"/>
    <x v="6"/>
    <m/>
    <x v="1"/>
    <s v="L4"/>
    <m/>
    <m/>
  </r>
  <r>
    <s v="num_MOs"/>
    <m/>
    <m/>
    <m/>
    <m/>
    <m/>
    <m/>
    <m/>
    <m/>
    <x v="32"/>
    <x v="6"/>
    <m/>
    <x v="1"/>
    <s v="L5"/>
    <m/>
    <m/>
  </r>
  <r>
    <s v="num_MOs"/>
    <n v="0"/>
    <m/>
    <m/>
    <m/>
    <m/>
    <m/>
    <m/>
    <s v="note: '2024_Kisii FQA'—Raw_Data; num_MOs = count*proportion_num_MOs"/>
    <x v="67"/>
    <x v="6"/>
    <m/>
    <x v="2"/>
    <s v="L2/3"/>
    <m/>
    <m/>
  </r>
  <r>
    <s v="num_MOs"/>
    <n v="50"/>
    <m/>
    <m/>
    <m/>
    <m/>
    <m/>
    <m/>
    <s v="note: '2024_Kisii FQA'—Raw_Data; num_MOs = count*proportion_num_MOs"/>
    <x v="67"/>
    <x v="6"/>
    <m/>
    <x v="2"/>
    <s v="L4"/>
    <m/>
    <m/>
  </r>
  <r>
    <s v="num_MOs"/>
    <n v="0"/>
    <m/>
    <m/>
    <m/>
    <m/>
    <m/>
    <m/>
    <s v="note: '2024_Kisii FQA'—Raw_Data; num_MOs = count*proportion_num_MOs"/>
    <x v="67"/>
    <x v="6"/>
    <m/>
    <x v="2"/>
    <s v="L5"/>
    <m/>
    <m/>
  </r>
  <r>
    <s v="num_MOs"/>
    <n v="19.823529411764707"/>
    <m/>
    <m/>
    <m/>
    <m/>
    <m/>
    <m/>
    <s v="note: '2024_Kisii FQA'—Raw_Data; num_MOs = count*proportion_num_MOs"/>
    <x v="67"/>
    <x v="6"/>
    <m/>
    <x v="3"/>
    <s v="L2/3"/>
    <m/>
    <m/>
  </r>
  <r>
    <s v="num_MOs"/>
    <n v="96.15384615384616"/>
    <m/>
    <m/>
    <m/>
    <m/>
    <m/>
    <m/>
    <s v="note: '2024_Kisii FQA'—Raw_Data; num_MOs = count*proportion_num_MOs"/>
    <x v="67"/>
    <x v="6"/>
    <m/>
    <x v="3"/>
    <s v="L4"/>
    <m/>
    <m/>
  </r>
  <r>
    <s v="num_MOs"/>
    <n v="0"/>
    <m/>
    <m/>
    <m/>
    <m/>
    <m/>
    <m/>
    <s v="note: '2024_Kisii FQA'—Raw_Data; num_MOs = count*proportion_num_MOs"/>
    <x v="67"/>
    <x v="6"/>
    <m/>
    <x v="3"/>
    <s v="L5"/>
    <m/>
    <m/>
  </r>
  <r>
    <s v="num_MOs"/>
    <m/>
    <m/>
    <m/>
    <m/>
    <m/>
    <m/>
    <m/>
    <s v="note: '2024_Kisii FQA'—Raw_Data; num_MOs = count*proportion_num_MOs"/>
    <x v="67"/>
    <x v="6"/>
    <m/>
    <x v="4"/>
    <s v="L2/3"/>
    <m/>
    <m/>
  </r>
  <r>
    <s v="num_MOs"/>
    <m/>
    <m/>
    <m/>
    <m/>
    <m/>
    <m/>
    <m/>
    <s v="note: '2024_Kisii FQA'—Raw_Data; num_MOs = count*proportion_num_MOs"/>
    <x v="67"/>
    <x v="6"/>
    <m/>
    <x v="4"/>
    <s v="L4"/>
    <m/>
    <m/>
  </r>
  <r>
    <s v="num_MOs"/>
    <m/>
    <m/>
    <m/>
    <m/>
    <m/>
    <m/>
    <m/>
    <s v="note: '2024_Kisii FQA'—Raw_Data; num_MOs = count*proportion_num_MOs"/>
    <x v="67"/>
    <x v="6"/>
    <m/>
    <x v="4"/>
    <s v="L5"/>
    <m/>
    <m/>
  </r>
  <r>
    <s v="num_COs"/>
    <m/>
    <m/>
    <m/>
    <m/>
    <m/>
    <m/>
    <m/>
    <m/>
    <x v="32"/>
    <x v="6"/>
    <m/>
    <x v="1"/>
    <s v="L2/3"/>
    <m/>
    <m/>
  </r>
  <r>
    <s v="num_COs"/>
    <m/>
    <m/>
    <m/>
    <m/>
    <m/>
    <m/>
    <m/>
    <m/>
    <x v="32"/>
    <x v="6"/>
    <m/>
    <x v="1"/>
    <s v="L4"/>
    <m/>
    <m/>
  </r>
  <r>
    <s v="num_COs"/>
    <m/>
    <m/>
    <m/>
    <m/>
    <m/>
    <m/>
    <m/>
    <m/>
    <x v="32"/>
    <x v="6"/>
    <m/>
    <x v="1"/>
    <s v="L5"/>
    <m/>
    <m/>
  </r>
  <r>
    <s v="num_COs"/>
    <n v="671.53846153846143"/>
    <m/>
    <m/>
    <m/>
    <m/>
    <m/>
    <m/>
    <s v="note: '2024_Kisii FQA'—Raw_Data; num_COs = count*proportion_num_COs"/>
    <x v="67"/>
    <x v="6"/>
    <m/>
    <x v="2"/>
    <s v="L2/3"/>
    <m/>
    <m/>
  </r>
  <r>
    <s v="num_COs"/>
    <n v="383.33333333333337"/>
    <m/>
    <m/>
    <m/>
    <m/>
    <m/>
    <m/>
    <s v="note: '2024_Kisii FQA'—Raw_Data; num_COs = count*proportion_num_COs"/>
    <x v="67"/>
    <x v="6"/>
    <m/>
    <x v="2"/>
    <s v="L4"/>
    <m/>
    <m/>
  </r>
  <r>
    <s v="num_COs"/>
    <n v="0"/>
    <m/>
    <m/>
    <m/>
    <m/>
    <m/>
    <m/>
    <s v="note: '2024_Kisii FQA'—Raw_Data; num_COs = count*proportion_num_COs"/>
    <x v="67"/>
    <x v="6"/>
    <m/>
    <x v="2"/>
    <s v="L5"/>
    <m/>
    <m/>
  </r>
  <r>
    <s v="num_COs"/>
    <n v="634.35294117647061"/>
    <m/>
    <m/>
    <m/>
    <m/>
    <m/>
    <m/>
    <s v="note: '2024_Kisii FQA'—Raw_Data; num_COs = count*proportion_num_COs"/>
    <x v="67"/>
    <x v="6"/>
    <m/>
    <x v="3"/>
    <s v="L2/3"/>
    <m/>
    <m/>
  </r>
  <r>
    <s v="num_COs"/>
    <n v="250"/>
    <m/>
    <m/>
    <m/>
    <m/>
    <m/>
    <m/>
    <s v="note: '2024_Kisii FQA'—Raw_Data; num_COs = count*proportion_num_COs"/>
    <x v="67"/>
    <x v="6"/>
    <m/>
    <x v="3"/>
    <s v="L4"/>
    <m/>
    <m/>
  </r>
  <r>
    <s v="num_COs"/>
    <n v="0"/>
    <m/>
    <m/>
    <m/>
    <m/>
    <m/>
    <m/>
    <s v="note: '2024_Kisii FQA'—Raw_Data; num_COs = count*proportion_num_COs"/>
    <x v="67"/>
    <x v="6"/>
    <m/>
    <x v="3"/>
    <s v="L5"/>
    <m/>
    <m/>
  </r>
  <r>
    <s v="num_COs"/>
    <m/>
    <m/>
    <m/>
    <m/>
    <m/>
    <m/>
    <m/>
    <s v="note: '2024_Kisii FQA'—Raw_Data; num_COs = count*proportion_num_COs"/>
    <x v="67"/>
    <x v="6"/>
    <m/>
    <x v="4"/>
    <s v="L2/3"/>
    <m/>
    <m/>
  </r>
  <r>
    <s v="num_COs"/>
    <m/>
    <m/>
    <m/>
    <m/>
    <m/>
    <m/>
    <m/>
    <s v="note: '2024_Kisii FQA'—Raw_Data; num_COs = count*proportion_num_COs"/>
    <x v="67"/>
    <x v="6"/>
    <m/>
    <x v="4"/>
    <s v="L4"/>
    <m/>
    <m/>
  </r>
  <r>
    <s v="num_COs"/>
    <m/>
    <m/>
    <m/>
    <m/>
    <m/>
    <m/>
    <m/>
    <s v="note: '2024_Kisii FQA'—Raw_Data; num_COs = count*proportion_num_COs"/>
    <x v="67"/>
    <x v="6"/>
    <m/>
    <x v="4"/>
    <s v="L5"/>
    <m/>
    <m/>
  </r>
  <r>
    <s v="num_nurses"/>
    <n v="1057"/>
    <m/>
    <m/>
    <m/>
    <m/>
    <m/>
    <m/>
    <s v="note: '2024_Kisii FQA'—Raw_Data; num_nurses = count*proportion_num_nurses"/>
    <x v="68"/>
    <x v="6"/>
    <m/>
    <x v="1"/>
    <s v="L2/3"/>
    <m/>
    <m/>
  </r>
  <r>
    <s v="num_nurses"/>
    <n v="147"/>
    <m/>
    <m/>
    <m/>
    <m/>
    <m/>
    <m/>
    <s v="note: '2024_Kisii FQA'—Raw_Data; num_nurses = count*proportion_num_nurses"/>
    <x v="68"/>
    <x v="6"/>
    <m/>
    <x v="1"/>
    <s v="L4"/>
    <m/>
    <m/>
  </r>
  <r>
    <s v="num_nurses"/>
    <n v="57"/>
    <m/>
    <m/>
    <m/>
    <m/>
    <m/>
    <m/>
    <s v="note: '2024_Kisii FQA'—Raw_Data; num_nurses = count*proportion_num_nurses"/>
    <x v="68"/>
    <x v="6"/>
    <m/>
    <x v="1"/>
    <s v="L5"/>
    <m/>
    <m/>
  </r>
  <r>
    <s v="num_nurses"/>
    <n v="1566.9230769230771"/>
    <m/>
    <m/>
    <m/>
    <m/>
    <m/>
    <m/>
    <s v="note: '2024_Kisii FQA'—Raw_Data; num_nurses = count*proportion_num_nurses"/>
    <x v="67"/>
    <x v="6"/>
    <m/>
    <x v="2"/>
    <s v="L2/3"/>
    <m/>
    <m/>
  </r>
  <r>
    <s v="num_nurses"/>
    <n v="803.33333333333337"/>
    <m/>
    <m/>
    <m/>
    <m/>
    <m/>
    <m/>
    <s v="note: '2024_Kisii FQA'—Raw_Data; num_nurses = count*proportion_num_nurses"/>
    <x v="67"/>
    <x v="6"/>
    <m/>
    <x v="2"/>
    <s v="L4"/>
    <m/>
    <m/>
  </r>
  <r>
    <s v="num_nurses"/>
    <n v="0"/>
    <m/>
    <m/>
    <m/>
    <m/>
    <m/>
    <m/>
    <s v="note: '2024_Kisii FQA'—Raw_Data; num_nurses = count*proportion_num_nurses"/>
    <x v="67"/>
    <x v="6"/>
    <m/>
    <x v="2"/>
    <s v="L5"/>
    <m/>
    <m/>
  </r>
  <r>
    <s v="num_nurses"/>
    <n v="1466.9411764705881"/>
    <m/>
    <m/>
    <m/>
    <m/>
    <m/>
    <m/>
    <s v="note: '2024_Kisii FQA'—Raw_Data; num_nurses = count*proportion_num_nurses"/>
    <x v="67"/>
    <x v="6"/>
    <m/>
    <x v="3"/>
    <s v="L2/3"/>
    <m/>
    <m/>
  </r>
  <r>
    <s v="num_nurses"/>
    <n v="665.38461538461547"/>
    <m/>
    <m/>
    <m/>
    <m/>
    <m/>
    <m/>
    <s v="note: '2024_Kisii FQA'—Raw_Data; num_nurses = count*proportion_num_nurses"/>
    <x v="67"/>
    <x v="6"/>
    <m/>
    <x v="3"/>
    <s v="L4"/>
    <m/>
    <m/>
  </r>
  <r>
    <s v="num_nurses"/>
    <n v="0"/>
    <m/>
    <m/>
    <m/>
    <m/>
    <m/>
    <m/>
    <s v="note: '2024_Kisii FQA'—Raw_Data; num_nurses = count*proportion_num_nurses"/>
    <x v="67"/>
    <x v="6"/>
    <m/>
    <x v="3"/>
    <s v="L5"/>
    <m/>
    <m/>
  </r>
  <r>
    <s v="num_nurses"/>
    <m/>
    <m/>
    <m/>
    <m/>
    <m/>
    <m/>
    <m/>
    <s v="note: '2024_Kisii FQA'—Raw_Data; num_nurses = count*proportion_num_nurses"/>
    <x v="67"/>
    <x v="6"/>
    <m/>
    <x v="4"/>
    <s v="L2/3"/>
    <m/>
    <m/>
  </r>
  <r>
    <s v="num_nurses"/>
    <m/>
    <m/>
    <m/>
    <m/>
    <m/>
    <m/>
    <m/>
    <s v="note: '2024_Kisii FQA'—Raw_Data; num_nurses = count*proportion_num_nurses"/>
    <x v="67"/>
    <x v="6"/>
    <m/>
    <x v="4"/>
    <s v="L4"/>
    <m/>
    <m/>
  </r>
  <r>
    <s v="num_nurses"/>
    <m/>
    <m/>
    <m/>
    <m/>
    <m/>
    <m/>
    <m/>
    <s v="note: '2024_Kisii FQA'—Raw_Data; num_nurses = count*proportion_num_nurses"/>
    <x v="67"/>
    <x v="6"/>
    <m/>
    <x v="4"/>
    <s v="L5"/>
    <m/>
    <m/>
  </r>
  <r>
    <s v="num_anesthetists"/>
    <n v="0"/>
    <m/>
    <m/>
    <m/>
    <m/>
    <m/>
    <m/>
    <s v="note: '2024_Kisii FQA'—Raw_Data; num_anesthesiologist = count*proportion_num_anesthesiologist"/>
    <x v="68"/>
    <x v="6"/>
    <m/>
    <x v="1"/>
    <s v="L2/3"/>
    <m/>
    <m/>
  </r>
  <r>
    <s v="num_anesthetists"/>
    <n v="20"/>
    <m/>
    <m/>
    <m/>
    <m/>
    <m/>
    <m/>
    <s v="note: '2024_Kisii FQA'—Raw_Data; num_anesthesiologist = count*proportion_num_anesthesiologist"/>
    <x v="68"/>
    <x v="6"/>
    <m/>
    <x v="1"/>
    <s v="L4"/>
    <m/>
    <m/>
  </r>
  <r>
    <s v="num_anesthetists"/>
    <n v="11"/>
    <m/>
    <m/>
    <m/>
    <m/>
    <m/>
    <m/>
    <s v="note: '2024_Kisii FQA'—Raw_Data; num_anesthesiologist = count*proportion_num_anesthesiologist"/>
    <x v="68"/>
    <x v="6"/>
    <m/>
    <x v="1"/>
    <s v="L5"/>
    <m/>
    <m/>
  </r>
  <r>
    <s v="num_anesthetists"/>
    <n v="0"/>
    <m/>
    <m/>
    <m/>
    <m/>
    <m/>
    <m/>
    <s v="note: '2024_Kisii FQA'—Raw_Data; num_anesthesiologist = count*proportion_num_anesthesiologist"/>
    <x v="67"/>
    <x v="6"/>
    <m/>
    <x v="2"/>
    <s v="L2/3"/>
    <m/>
    <m/>
  </r>
  <r>
    <s v="num_anesthetists"/>
    <n v="0"/>
    <m/>
    <m/>
    <m/>
    <m/>
    <m/>
    <m/>
    <s v="note: '2024_Kisii FQA'—Raw_Data; num_anesthesiologist = count*proportion_num_anesthesiologist"/>
    <x v="67"/>
    <x v="6"/>
    <m/>
    <x v="2"/>
    <s v="L4"/>
    <m/>
    <m/>
  </r>
  <r>
    <s v="num_anesthetists"/>
    <n v="0"/>
    <m/>
    <m/>
    <m/>
    <m/>
    <m/>
    <m/>
    <s v="note: '2024_Kisii FQA'—Raw_Data; num_anesthesiologist = count*proportion_num_anesthesiologist"/>
    <x v="67"/>
    <x v="6"/>
    <m/>
    <x v="2"/>
    <s v="L5"/>
    <m/>
    <m/>
  </r>
  <r>
    <s v="num_anesthetists"/>
    <n v="0"/>
    <m/>
    <m/>
    <m/>
    <m/>
    <m/>
    <m/>
    <s v="note: '2024_Kisii FQA'—Raw_Data; num_anesthesiologist = count*proportion_num_anesthesiologist"/>
    <x v="67"/>
    <x v="6"/>
    <m/>
    <x v="3"/>
    <s v="L2/3"/>
    <m/>
    <m/>
  </r>
  <r>
    <s v="num_anesthetists"/>
    <n v="7.6923076923076925"/>
    <m/>
    <m/>
    <m/>
    <m/>
    <m/>
    <m/>
    <s v="note: '2024_Kisii FQA'—Raw_Data; num_anesthesiologist = count*proportion_num_anesthesiologist"/>
    <x v="67"/>
    <x v="6"/>
    <m/>
    <x v="3"/>
    <s v="L4"/>
    <m/>
    <m/>
  </r>
  <r>
    <s v="num_anesthetists"/>
    <n v="0"/>
    <m/>
    <m/>
    <m/>
    <m/>
    <m/>
    <m/>
    <s v="note: '2024_Kisii FQA'—Raw_Data; num_anesthesiologist = count*proportion_num_anesthesiologist"/>
    <x v="67"/>
    <x v="6"/>
    <m/>
    <x v="3"/>
    <s v="L5"/>
    <m/>
    <m/>
  </r>
  <r>
    <s v="num_anesthetists"/>
    <m/>
    <m/>
    <m/>
    <m/>
    <m/>
    <m/>
    <m/>
    <s v="note: '2024_Kisii FQA'—Raw_Data; num_anesthesiologist = count*proportion_num_anesthesiologist"/>
    <x v="67"/>
    <x v="6"/>
    <m/>
    <x v="4"/>
    <s v="L2/3"/>
    <m/>
    <m/>
  </r>
  <r>
    <s v="num_anesthetists"/>
    <m/>
    <m/>
    <m/>
    <m/>
    <m/>
    <m/>
    <m/>
    <s v="note: '2024_Kisii FQA'—Raw_Data; num_anesthesiologist = count*proportion_num_anesthesiologist"/>
    <x v="67"/>
    <x v="6"/>
    <m/>
    <x v="4"/>
    <s v="L4"/>
    <m/>
    <m/>
  </r>
  <r>
    <s v="num_anesthetists"/>
    <m/>
    <m/>
    <m/>
    <m/>
    <m/>
    <m/>
    <m/>
    <s v="note: '2024_Kisii FQA'—Raw_Data; num_anesthesiologist = count*proportion_num_anesthesiologist"/>
    <x v="67"/>
    <x v="6"/>
    <m/>
    <x v="4"/>
    <s v="L5"/>
    <m/>
    <m/>
  </r>
  <r>
    <s v="mothers_per_CHV_permonth"/>
    <n v="1.0832999999999999"/>
    <m/>
    <m/>
    <m/>
    <m/>
    <s v="CHV"/>
    <s v="mothers reached by one CHV per month (13/12)"/>
    <m/>
    <x v="32"/>
    <x v="7"/>
    <m/>
    <x v="0"/>
    <m/>
    <m/>
    <m/>
  </r>
  <r>
    <s v="RR_l45_poorQOC"/>
    <n v="0.54"/>
    <m/>
    <m/>
    <m/>
    <m/>
    <s v="facility"/>
    <s v="RR facility delivery if poor QOC experience"/>
    <m/>
    <x v="32"/>
    <x v="7"/>
    <m/>
    <x v="0"/>
    <m/>
    <m/>
    <m/>
  </r>
  <r>
    <s v="p_CHV_soften_spread"/>
    <n v="0.9"/>
    <m/>
    <m/>
    <m/>
    <m/>
    <s v="CHV"/>
    <s v="P(CHV softening spread of negative info)"/>
    <m/>
    <x v="32"/>
    <x v="7"/>
    <m/>
    <x v="0"/>
    <m/>
    <m/>
    <m/>
  </r>
  <r>
    <s v="p_l5_l45"/>
    <n v="0.19850000000000001"/>
    <m/>
    <m/>
    <m/>
    <m/>
    <s v="facility"/>
    <s v="P(L5 given L4/5) = 5126/(20709+5126)"/>
    <m/>
    <x v="32"/>
    <x v="7"/>
    <m/>
    <x v="0"/>
    <m/>
    <m/>
    <m/>
  </r>
  <r>
    <s v="sen_comp_trad"/>
    <n v="0.7"/>
    <m/>
    <m/>
    <m/>
    <m/>
    <s v="sensor"/>
    <s v="sensitivity traditional monitoring for complications"/>
    <m/>
    <x v="69"/>
    <x v="7"/>
    <m/>
    <x v="0"/>
    <m/>
    <m/>
    <m/>
  </r>
  <r>
    <s v="spec_comp_trad"/>
    <n v="0.75"/>
    <m/>
    <m/>
    <m/>
    <m/>
    <s v="sensor"/>
    <s v="specificity traditional monitoring for complications"/>
    <m/>
    <x v="70"/>
    <x v="7"/>
    <m/>
    <x v="0"/>
    <m/>
    <m/>
    <m/>
  </r>
  <r>
    <s v="spec_ol_IS"/>
    <n v="0.95"/>
    <m/>
    <m/>
    <m/>
    <m/>
    <s v="sensor"/>
    <s v="specificity predicting OL by IS"/>
    <m/>
    <x v="71"/>
    <x v="7"/>
    <m/>
    <x v="0"/>
    <m/>
    <m/>
    <m/>
  </r>
  <r>
    <s v="E_stillbirth_CS"/>
    <n v="0.55000000000000004"/>
    <m/>
    <m/>
    <m/>
    <m/>
    <s v="efficacy"/>
    <s v="efficacy of timely CS in preventing stillbirth by hypoxia"/>
    <m/>
    <x v="72"/>
    <x v="7"/>
    <m/>
    <x v="0"/>
    <m/>
    <m/>
    <m/>
  </r>
  <r>
    <s v="p_stillbirth_hypoxia"/>
    <n v="0.27"/>
    <m/>
    <m/>
    <m/>
    <m/>
    <s v="mortality"/>
    <s v="P(stillbirth given hypoxia)"/>
    <m/>
    <x v="73"/>
    <x v="7"/>
    <m/>
    <x v="0"/>
    <m/>
    <m/>
    <m/>
  </r>
  <r>
    <s v="D_asphyxia"/>
    <n v="0.23899999999999999"/>
    <m/>
    <m/>
    <m/>
    <m/>
    <s v="mortality"/>
    <s v="P(death given asphyxia)"/>
    <m/>
    <x v="74"/>
    <x v="7"/>
    <m/>
    <x v="0"/>
    <m/>
    <m/>
    <m/>
  </r>
  <r>
    <s v="D_IVH"/>
    <n v="0.11"/>
    <m/>
    <m/>
    <m/>
    <m/>
    <s v="mortality"/>
    <s v="P(death given IVH)"/>
    <m/>
    <x v="75"/>
    <x v="7"/>
    <m/>
    <x v="0"/>
    <m/>
    <m/>
    <m/>
  </r>
  <r>
    <s v="D_NEC"/>
    <n v="0.21199999999999999"/>
    <m/>
    <m/>
    <m/>
    <m/>
    <s v="mortality"/>
    <s v="P(death given NEC)"/>
    <m/>
    <x v="76"/>
    <x v="7"/>
    <m/>
    <x v="0"/>
    <m/>
    <m/>
    <m/>
  </r>
  <r>
    <s v="D_Sepsis"/>
    <n v="0.32500000000000001"/>
    <m/>
    <m/>
    <m/>
    <m/>
    <s v="mortality"/>
    <s v="P(death given neonatal sepsis)"/>
    <m/>
    <x v="77"/>
    <x v="7"/>
    <m/>
    <x v="0"/>
    <m/>
    <m/>
    <m/>
  </r>
  <r>
    <s v="scale_comps"/>
    <n v="4.4800000000000004"/>
    <m/>
    <m/>
    <m/>
    <m/>
    <s v="scaling"/>
    <s v="scaling factor for maternal complications to Kenya level"/>
    <m/>
    <x v="78"/>
    <x v="7"/>
    <m/>
    <x v="0"/>
    <m/>
    <m/>
    <m/>
  </r>
  <r>
    <s v="t_l4_l4_severe"/>
    <n v="16.600000000000001"/>
    <m/>
    <m/>
    <m/>
    <m/>
    <s v="transfer"/>
    <s v="P(transfer from L4 to L4)"/>
    <m/>
    <x v="79"/>
    <x v="7"/>
    <m/>
    <x v="0"/>
    <m/>
    <m/>
    <m/>
  </r>
  <r>
    <s v="t_l4_l5_severe"/>
    <n v="44.7"/>
    <m/>
    <m/>
    <m/>
    <m/>
    <s v="transfer"/>
    <s v="P(transfer from L4 to L5)"/>
    <m/>
    <x v="79"/>
    <x v="7"/>
    <m/>
    <x v="0"/>
    <m/>
    <m/>
    <m/>
  </r>
  <r>
    <s v="Mother_life_expectancy"/>
    <n v="69.2"/>
    <m/>
    <m/>
    <m/>
    <m/>
    <s v="DALY"/>
    <s v="Kenya female life expectancy"/>
    <m/>
    <x v="80"/>
    <x v="7"/>
    <m/>
    <x v="0"/>
    <m/>
    <s v="years"/>
    <m/>
  </r>
  <r>
    <s v="Neonate_life_expectancy"/>
    <n v="66.8"/>
    <m/>
    <m/>
    <m/>
    <m/>
    <s v="DALY"/>
    <s v="Kenya life expectancy at birth"/>
    <m/>
    <x v="80"/>
    <x v="7"/>
    <m/>
    <x v="0"/>
    <m/>
    <s v="years"/>
    <m/>
  </r>
  <r>
    <s v="Childbearing_age"/>
    <n v="28.6"/>
    <m/>
    <m/>
    <m/>
    <m/>
    <s v="DALY"/>
    <s v="average childbearing age"/>
    <m/>
    <x v="81"/>
    <x v="7"/>
    <m/>
    <x v="0"/>
    <m/>
    <s v="years"/>
    <m/>
  </r>
  <r>
    <s v="density_skilled_worker_kenya"/>
    <n v="174.09"/>
    <m/>
    <m/>
    <m/>
    <m/>
    <s v="labor"/>
    <s v="Kenya HCW density"/>
    <m/>
    <x v="82"/>
    <x v="7"/>
    <m/>
    <x v="0"/>
    <m/>
    <s v="per 100k"/>
    <m/>
  </r>
  <r>
    <s v="Ave_LBs_thres"/>
    <n v="167"/>
    <m/>
    <m/>
    <m/>
    <m/>
    <s v="labor"/>
    <s v="threshold for surgical staff calculation"/>
    <m/>
    <x v="83"/>
    <x v="7"/>
    <m/>
    <x v="0"/>
    <m/>
    <m/>
    <m/>
  </r>
  <r>
    <s v="surgical_needed_below_thres"/>
    <n v="6"/>
    <m/>
    <m/>
    <m/>
    <m/>
    <s v="labor"/>
    <s v="surgical staff needed if below threshold"/>
    <m/>
    <x v="83"/>
    <x v="7"/>
    <m/>
    <x v="0"/>
    <m/>
    <m/>
    <m/>
  </r>
  <r>
    <s v="surgical_needed_perLB_above_thres"/>
    <n v="3.5999999999999997E-2"/>
    <m/>
    <m/>
    <m/>
    <m/>
    <s v="labor"/>
    <s v="surgical staff needed per LB above threshold"/>
    <m/>
    <x v="83"/>
    <x v="7"/>
    <m/>
    <x v="0"/>
    <m/>
    <m/>
    <m/>
  </r>
  <r>
    <s v="nurse_needed_perLB"/>
    <n v="0.1852"/>
    <m/>
    <m/>
    <m/>
    <m/>
    <s v="labor"/>
    <s v="nurses needed per LB (1/5.4)"/>
    <m/>
    <x v="41"/>
    <x v="7"/>
    <m/>
    <x v="0"/>
    <m/>
    <m/>
    <m/>
  </r>
  <r>
    <s v="anesthetist_needed_perCS"/>
    <n v="4.3499999999999997E-2"/>
    <m/>
    <m/>
    <m/>
    <m/>
    <s v="labor"/>
    <s v="anesthetists needed per CS"/>
    <m/>
    <x v="41"/>
    <x v="7"/>
    <m/>
    <x v="0"/>
    <m/>
    <m/>
    <m/>
  </r>
  <r>
    <s v="surgical_weight"/>
    <n v="10"/>
    <m/>
    <m/>
    <m/>
    <m/>
    <s v="labor"/>
    <s v="weight in QOC calculation"/>
    <m/>
    <x v="84"/>
    <x v="7"/>
    <m/>
    <x v="0"/>
    <m/>
    <m/>
    <m/>
  </r>
  <r>
    <s v="scaled_factor_density"/>
    <n v="6"/>
    <m/>
    <m/>
    <m/>
    <m/>
    <s v="labor"/>
    <s v="scaling factor for HCW density"/>
    <m/>
    <x v="85"/>
    <x v="7"/>
    <m/>
    <x v="0"/>
    <m/>
    <m/>
    <m/>
  </r>
  <r>
    <s v="check_time_doppler"/>
    <n v="10"/>
    <m/>
    <m/>
    <m/>
    <m/>
    <s v="sensor"/>
    <s v="time to check FHR with doppler"/>
    <m/>
    <x v="86"/>
    <x v="7"/>
    <m/>
    <x v="0"/>
    <m/>
    <s v="minutes"/>
    <m/>
  </r>
  <r>
    <s v="check_interval_1st_stage"/>
    <n v="30"/>
    <m/>
    <m/>
    <m/>
    <m/>
    <s v="sensor"/>
    <s v="FHR check interval in 1st stage"/>
    <m/>
    <x v="87"/>
    <x v="7"/>
    <m/>
    <x v="0"/>
    <m/>
    <s v="minutes"/>
    <m/>
  </r>
  <r>
    <s v="check_interval_2nd_stage"/>
    <n v="15"/>
    <m/>
    <m/>
    <m/>
    <m/>
    <s v="sensor"/>
    <s v="FHR check interval in 2nd stage"/>
    <m/>
    <x v="87"/>
    <x v="7"/>
    <m/>
    <x v="0"/>
    <m/>
    <s v="minutes"/>
    <m/>
  </r>
  <r>
    <s v="usage_time_sensor_perday"/>
    <n v="1200"/>
    <m/>
    <m/>
    <m/>
    <m/>
    <s v="sensor"/>
    <s v="sensor usage time per day (20 hours)"/>
    <s v="assumption"/>
    <x v="32"/>
    <x v="7"/>
    <m/>
    <x v="0"/>
    <m/>
    <s v="minutes"/>
    <m/>
  </r>
  <r>
    <s v="USD_to_Ksh"/>
    <n v="129.5"/>
    <m/>
    <m/>
    <m/>
    <m/>
    <s v="exchange"/>
    <s v="USD to KSH exchange rate"/>
    <m/>
    <x v="32"/>
    <x v="7"/>
    <m/>
    <x v="0"/>
    <m/>
    <m/>
    <m/>
  </r>
  <r>
    <s v="dispatches_per_vehicle"/>
    <n v="57"/>
    <m/>
    <m/>
    <m/>
    <m/>
    <s v="transport"/>
    <s v="dispatches per vehicle per month"/>
    <m/>
    <x v="88"/>
    <x v="7"/>
    <m/>
    <x v="0"/>
    <m/>
    <s v="per month"/>
    <m/>
  </r>
  <r>
    <s v="pph_bundle"/>
    <n v="1605.29"/>
    <m/>
    <m/>
    <m/>
    <m/>
    <s v="treatment"/>
    <s v="PPH bundle cost (129.25 × 1.08 × 49101/4158)"/>
    <m/>
    <x v="32"/>
    <x v="8"/>
    <m/>
    <x v="0"/>
    <m/>
    <s v="KSH per case"/>
    <m/>
  </r>
  <r>
    <s v="iv_iron"/>
    <n v="2843.5"/>
    <m/>
    <m/>
    <m/>
    <m/>
    <s v="treatment"/>
    <s v="IV iron infusion"/>
    <m/>
    <x v="32"/>
    <x v="8"/>
    <m/>
    <x v="0"/>
    <m/>
    <s v="KSH per patient"/>
    <m/>
  </r>
  <r>
    <s v="MgSO4"/>
    <n v="1680.25"/>
    <m/>
    <m/>
    <m/>
    <m/>
    <s v="treatment"/>
    <s v="MgSO4 treatment"/>
    <m/>
    <x v="32"/>
    <x v="8"/>
    <m/>
    <x v="0"/>
    <m/>
    <s v="KSH per patient"/>
    <m/>
  </r>
  <r>
    <s v="antibiotics"/>
    <n v="125.37"/>
    <m/>
    <m/>
    <m/>
    <m/>
    <s v="treatment"/>
    <s v="Antibiotics for sepsis"/>
    <m/>
    <x v="32"/>
    <x v="8"/>
    <m/>
    <x v="0"/>
    <m/>
    <s v="KSH per patient"/>
    <m/>
  </r>
  <r>
    <s v="POCUS"/>
    <n v="647500"/>
    <m/>
    <m/>
    <m/>
    <m/>
    <s v="equipment"/>
    <s v="Ultrasound machine (5000 × 129.5)"/>
    <m/>
    <x v="32"/>
    <x v="8"/>
    <m/>
    <x v="0"/>
    <m/>
    <s v="KSH per unit"/>
    <m/>
  </r>
  <r>
    <s v="Doppler"/>
    <n v="4000"/>
    <m/>
    <m/>
    <m/>
    <m/>
    <s v="equipment"/>
    <s v="Doppler machine"/>
    <m/>
    <x v="32"/>
    <x v="8"/>
    <m/>
    <x v="0"/>
    <m/>
    <s v="KSH per unit"/>
    <m/>
  </r>
  <r>
    <s v="CTG"/>
    <n v="657900"/>
    <m/>
    <m/>
    <m/>
    <m/>
    <s v="equipment"/>
    <s v="CTG machine"/>
    <m/>
    <x v="32"/>
    <x v="8"/>
    <m/>
    <x v="0"/>
    <m/>
    <s v="KSH per unit"/>
    <m/>
  </r>
  <r>
    <s v="SDR PM"/>
    <n v="40207381"/>
    <m/>
    <m/>
    <m/>
    <m/>
    <s v="SDR"/>
    <s v="Program management setup"/>
    <m/>
    <x v="32"/>
    <x v="8"/>
    <m/>
    <x v="0"/>
    <m/>
    <s v="KSH fixed"/>
    <m/>
  </r>
  <r>
    <s v="SDR PM2"/>
    <n v="5693559"/>
    <m/>
    <m/>
    <m/>
    <m/>
    <s v="SDR"/>
    <s v="PM maintenance per year"/>
    <m/>
    <x v="32"/>
    <x v="8"/>
    <m/>
    <x v="0"/>
    <m/>
    <s v="KSH per year"/>
    <m/>
  </r>
  <r>
    <s v="SDR PM2 Conservative"/>
    <n v="4556971"/>
    <m/>
    <m/>
    <m/>
    <m/>
    <s v="SDR"/>
    <s v="PM maintenance (conservative)"/>
    <m/>
    <x v="32"/>
    <x v="8"/>
    <m/>
    <x v="0"/>
    <m/>
    <s v="KSH per year"/>
    <m/>
  </r>
  <r>
    <s v="SDR PM2 Moderate"/>
    <n v="5693559"/>
    <m/>
    <m/>
    <m/>
    <m/>
    <s v="SDR"/>
    <s v="PM maintenance (moderate)"/>
    <m/>
    <x v="32"/>
    <x v="8"/>
    <m/>
    <x v="0"/>
    <m/>
    <s v="KSH per year"/>
    <m/>
  </r>
  <r>
    <s v="SDR PM2 Aggressive"/>
    <n v="6833850"/>
    <m/>
    <m/>
    <m/>
    <m/>
    <s v="SDR"/>
    <s v="PM maintenance (aggressive)"/>
    <m/>
    <x v="32"/>
    <x v="8"/>
    <m/>
    <x v="0"/>
    <m/>
    <s v="KSH per year"/>
    <m/>
  </r>
  <r>
    <s v="SDR Infra"/>
    <n v="2257329"/>
    <m/>
    <m/>
    <m/>
    <m/>
    <s v="SDR"/>
    <s v="Infrastructure per maternity bed (1031600000/457)"/>
    <m/>
    <x v="32"/>
    <x v="8"/>
    <m/>
    <x v="0"/>
    <m/>
    <s v="KSH per bed"/>
    <m/>
  </r>
  <r>
    <s v="SDR Equip"/>
    <n v="11359478"/>
    <m/>
    <m/>
    <m/>
    <m/>
    <s v="SDR"/>
    <s v="Equipment costs"/>
    <m/>
    <x v="32"/>
    <x v="8"/>
    <m/>
    <x v="0"/>
    <m/>
    <s v="KSH fixed"/>
    <m/>
  </r>
  <r>
    <s v="SDR Taxi Setup"/>
    <n v="19000"/>
    <m/>
    <m/>
    <m/>
    <m/>
    <s v="transport"/>
    <s v="Taxi setup cost"/>
    <m/>
    <x v="32"/>
    <x v="8"/>
    <m/>
    <x v="0"/>
    <m/>
    <s v="KSH per vehicle"/>
    <m/>
  </r>
  <r>
    <s v="SDR Taxi Monthly"/>
    <n v="250"/>
    <m/>
    <m/>
    <m/>
    <m/>
    <s v="transport"/>
    <s v="Taxi monthly maintenance"/>
    <m/>
    <x v="32"/>
    <x v="8"/>
    <m/>
    <x v="0"/>
    <m/>
    <s v="KSH per month"/>
    <m/>
  </r>
  <r>
    <s v="SDR Taxi Dispatch"/>
    <n v="5500"/>
    <m/>
    <m/>
    <m/>
    <m/>
    <s v="transport"/>
    <s v="Taxi per dispatch cost"/>
    <m/>
    <x v="32"/>
    <x v="8"/>
    <m/>
    <x v="0"/>
    <m/>
    <s v="KSH per dispatch"/>
    <m/>
  </r>
  <r>
    <s v="SDR Ambulance Setup"/>
    <n v="130500"/>
    <m/>
    <m/>
    <m/>
    <m/>
    <s v="transport"/>
    <s v="Ambulance setup cost"/>
    <m/>
    <x v="32"/>
    <x v="8"/>
    <m/>
    <x v="0"/>
    <m/>
    <s v="KSH per vehicle"/>
    <m/>
  </r>
  <r>
    <s v="SDR Ambulance Monthly"/>
    <n v="2250"/>
    <m/>
    <m/>
    <m/>
    <m/>
    <s v="transport"/>
    <s v="Ambulance monthly maintenance"/>
    <m/>
    <x v="32"/>
    <x v="8"/>
    <m/>
    <x v="0"/>
    <m/>
    <s v="KSH per month"/>
    <m/>
  </r>
  <r>
    <s v="SDR Ambulance Dispatch"/>
    <n v="8500"/>
    <m/>
    <m/>
    <m/>
    <m/>
    <s v="transport"/>
    <s v="Ambulance per dispatch cost"/>
    <m/>
    <x v="32"/>
    <x v="8"/>
    <m/>
    <x v="0"/>
    <m/>
    <s v="KSH per dispatch"/>
    <m/>
  </r>
  <r>
    <s v="SDR ANC"/>
    <n v="312"/>
    <m/>
    <m/>
    <m/>
    <m/>
    <s v="service"/>
    <s v="ANC visit cost"/>
    <m/>
    <x v="32"/>
    <x v="8"/>
    <m/>
    <x v="0"/>
    <m/>
    <s v="KSH per patient"/>
    <m/>
  </r>
  <r>
    <s v="SDR Fac Delivery"/>
    <n v="6148"/>
    <m/>
    <m/>
    <m/>
    <m/>
    <s v="service"/>
    <s v="Normal facility delivery cost"/>
    <m/>
    <x v="32"/>
    <x v="8"/>
    <m/>
    <x v="0"/>
    <m/>
    <s v="KSH per patient"/>
    <m/>
  </r>
  <r>
    <s v="SDR CS Delivery"/>
    <n v="29804"/>
    <m/>
    <m/>
    <m/>
    <m/>
    <s v="service"/>
    <s v="C-section delivery cost"/>
    <m/>
    <x v="32"/>
    <x v="8"/>
    <m/>
    <x v="0"/>
    <m/>
    <s v="KSH per patient"/>
    <m/>
  </r>
  <r>
    <s v="SDR surgical staff"/>
    <n v="9958"/>
    <m/>
    <m/>
    <m/>
    <m/>
    <s v="salary"/>
    <s v="Surgical staff monthly salary"/>
    <m/>
    <x v="32"/>
    <x v="8"/>
    <m/>
    <x v="0"/>
    <m/>
    <s v="KSH per month"/>
    <m/>
  </r>
  <r>
    <s v="SDR nurse staff"/>
    <n v="4380"/>
    <m/>
    <m/>
    <m/>
    <m/>
    <s v="salary"/>
    <s v="Nurse monthly salary"/>
    <m/>
    <x v="32"/>
    <x v="8"/>
    <m/>
    <x v="0"/>
    <m/>
    <s v="KSH per month"/>
    <m/>
  </r>
  <r>
    <s v="SDR anesthetist"/>
    <n v="5098"/>
    <m/>
    <m/>
    <m/>
    <m/>
    <s v="salary"/>
    <s v="Anesthetist monthly salary"/>
    <m/>
    <x v="32"/>
    <x v="8"/>
    <m/>
    <x v="0"/>
    <m/>
    <s v="KSH per month"/>
    <m/>
  </r>
  <r>
    <s v="anemia"/>
    <n v="5.1999999999999998E-2"/>
    <n v="3.3799999999999997E-2"/>
    <n v="7.5700000000000003E-2"/>
    <m/>
    <m/>
    <m/>
    <s v="Moderate anemia"/>
    <m/>
    <x v="89"/>
    <x v="9"/>
    <m/>
    <x v="0"/>
    <m/>
    <m/>
    <m/>
  </r>
  <r>
    <s v="low_pph"/>
    <n v="0.114"/>
    <n v="7.7899999999999997E-2"/>
    <n v="0.15870000000000001"/>
    <m/>
    <m/>
    <m/>
    <s v="Mild PPH"/>
    <m/>
    <x v="89"/>
    <x v="9"/>
    <m/>
    <x v="0"/>
    <m/>
    <m/>
    <m/>
  </r>
  <r>
    <s v="high_pph"/>
    <n v="0.32400000000000001"/>
    <n v="0.21970000000000001"/>
    <n v="0.44180000000000003"/>
    <m/>
    <m/>
    <m/>
    <s v="Severe PPH"/>
    <m/>
    <x v="89"/>
    <x v="9"/>
    <m/>
    <x v="0"/>
    <m/>
    <m/>
    <m/>
  </r>
  <r>
    <s v="maternal_sepsis"/>
    <n v="0.13300000000000001"/>
    <n v="8.8400000000000006E-2"/>
    <n v="0.1895"/>
    <m/>
    <m/>
    <m/>
    <s v="Maternal sepsis"/>
    <m/>
    <x v="89"/>
    <x v="9"/>
    <m/>
    <x v="0"/>
    <m/>
    <m/>
    <m/>
  </r>
  <r>
    <s v="eclampsia"/>
    <n v="0.60199999999999998"/>
    <n v="0.42659999999999998"/>
    <n v="0.75270000000000004"/>
    <m/>
    <m/>
    <m/>
    <s v="Eclampsia"/>
    <m/>
    <x v="89"/>
    <x v="9"/>
    <m/>
    <x v="0"/>
    <m/>
    <m/>
    <m/>
  </r>
  <r>
    <s v="obstructed_labor"/>
    <n v="0.32400000000000001"/>
    <n v="0.21970000000000001"/>
    <n v="0.44180000000000003"/>
    <m/>
    <m/>
    <m/>
    <s v="Obstructed labor"/>
    <m/>
    <x v="89"/>
    <x v="9"/>
    <m/>
    <x v="0"/>
    <m/>
    <m/>
    <m/>
  </r>
  <r>
    <s v="maternal_death"/>
    <n v="1"/>
    <m/>
    <m/>
    <m/>
    <m/>
    <m/>
    <s v="Death"/>
    <m/>
    <x v="32"/>
    <x v="9"/>
    <m/>
    <x v="0"/>
    <m/>
    <m/>
    <m/>
  </r>
  <r>
    <s v="neonatal_death"/>
    <n v="1"/>
    <m/>
    <m/>
    <m/>
    <m/>
    <m/>
    <s v="Death"/>
    <m/>
    <x v="32"/>
    <x v="9"/>
    <m/>
    <x v="0"/>
    <m/>
    <m/>
    <m/>
  </r>
  <r>
    <s v="preterm_comp"/>
    <n v="0.38800000000000001"/>
    <m/>
    <m/>
    <m/>
    <m/>
    <m/>
    <s v="Preterm complications"/>
    <m/>
    <x v="89"/>
    <x v="9"/>
    <m/>
    <x v="0"/>
    <m/>
    <m/>
    <m/>
  </r>
  <r>
    <s v="asphyxia"/>
    <n v="0.54900000000000004"/>
    <m/>
    <m/>
    <m/>
    <m/>
    <m/>
    <s v="Birth asphyxia"/>
    <m/>
    <x v="89"/>
    <x v="9"/>
    <m/>
    <x v="0"/>
    <m/>
    <m/>
    <m/>
  </r>
  <r>
    <s v="neonatal_sepsis"/>
    <n v="0.45900000000000002"/>
    <m/>
    <m/>
    <m/>
    <m/>
    <m/>
    <s v="Neonatal sepsis"/>
    <m/>
    <x v="89"/>
    <x v="9"/>
    <m/>
    <x v="0"/>
    <m/>
    <m/>
    <m/>
  </r>
  <r>
    <s v="home_all_target"/>
    <n v="0.35"/>
    <m/>
    <m/>
    <m/>
    <m/>
    <m/>
    <s v="Proportion of all births at home"/>
    <s v="ask tingting why transfers aren't captured in this calculation for home"/>
    <x v="90"/>
    <x v="10"/>
    <m/>
    <x v="1"/>
    <m/>
    <m/>
    <m/>
  </r>
  <r>
    <s v="home_all_target"/>
    <n v="1.7500000000000002E-2"/>
    <m/>
    <m/>
    <m/>
    <m/>
    <m/>
    <s v="Proportion of all births at home"/>
    <s v="data from PROMPTS Users not all population"/>
    <x v="37"/>
    <x v="10"/>
    <m/>
    <x v="2"/>
    <m/>
    <m/>
    <m/>
  </r>
  <r>
    <s v="home_all_target"/>
    <n v="2.1700000000000001E-2"/>
    <m/>
    <m/>
    <m/>
    <m/>
    <m/>
    <s v="Proportion of all births at home"/>
    <s v="data from PROMPTS Users not all population"/>
    <x v="37"/>
    <x v="10"/>
    <m/>
    <x v="3"/>
    <m/>
    <m/>
    <m/>
  </r>
  <r>
    <s v="home_all_target"/>
    <n v="0.02"/>
    <m/>
    <m/>
    <m/>
    <m/>
    <m/>
    <s v="Proportion of all births at home"/>
    <s v="data from PROMPTS Users not all population"/>
    <x v="37"/>
    <x v="10"/>
    <m/>
    <x v="4"/>
    <m/>
    <m/>
    <m/>
  </r>
  <r>
    <s v="l23_all_target"/>
    <n v="0.39200000000000002"/>
    <m/>
    <m/>
    <m/>
    <m/>
    <m/>
    <s v="Proportion of all births at L2/3 (0.27 + 0.122)"/>
    <s v="pre-transfer proportion - add .122 to get # before 2/3 were transferred"/>
    <x v="91"/>
    <x v="10"/>
    <m/>
    <x v="1"/>
    <m/>
    <m/>
    <m/>
  </r>
  <r>
    <s v="l23_all_target"/>
    <m/>
    <m/>
    <m/>
    <m/>
    <m/>
    <m/>
    <s v="Proportion of all births at L2/3"/>
    <m/>
    <x v="32"/>
    <x v="10"/>
    <m/>
    <x v="2"/>
    <m/>
    <m/>
    <m/>
  </r>
  <r>
    <s v="l23_all_target"/>
    <m/>
    <m/>
    <m/>
    <m/>
    <m/>
    <m/>
    <s v="Proportion of all births at L2/3"/>
    <m/>
    <x v="32"/>
    <x v="10"/>
    <m/>
    <x v="3"/>
    <m/>
    <m/>
    <m/>
  </r>
  <r>
    <s v="l23_all_target"/>
    <m/>
    <m/>
    <m/>
    <m/>
    <m/>
    <m/>
    <s v="Proportion of all births at L2/3"/>
    <m/>
    <x v="32"/>
    <x v="10"/>
    <m/>
    <x v="4"/>
    <m/>
    <m/>
    <m/>
  </r>
  <r>
    <s v="l45_all_target"/>
    <n v="0.25800000000000001"/>
    <m/>
    <m/>
    <m/>
    <m/>
    <m/>
    <s v="Proportion of all births at L4/5 (0.38 - 0.122)"/>
    <s v="pre-transfer proportion - subtract .122 to get # before 2/3 were transferred; Caculated based on post-transfer live births and % transfers to L4/5 (Derived from KHIS , don't need additional information)"/>
    <x v="32"/>
    <x v="10"/>
    <m/>
    <x v="1"/>
    <m/>
    <m/>
    <m/>
  </r>
  <r>
    <s v="l45_all_target"/>
    <m/>
    <m/>
    <m/>
    <m/>
    <m/>
    <m/>
    <s v="Proportion of all births at L4/5"/>
    <m/>
    <x v="32"/>
    <x v="10"/>
    <m/>
    <x v="2"/>
    <m/>
    <m/>
    <m/>
  </r>
  <r>
    <s v="l45_all_target"/>
    <m/>
    <m/>
    <m/>
    <m/>
    <m/>
    <m/>
    <s v="Proportion of all births at L4/5"/>
    <m/>
    <x v="32"/>
    <x v="10"/>
    <m/>
    <x v="3"/>
    <m/>
    <m/>
    <m/>
  </r>
  <r>
    <s v="l45_all_target"/>
    <m/>
    <m/>
    <m/>
    <m/>
    <m/>
    <m/>
    <s v="Proportion of all births at L4/5"/>
    <m/>
    <x v="32"/>
    <x v="10"/>
    <m/>
    <x v="4"/>
    <m/>
    <m/>
    <m/>
  </r>
  <r>
    <s v="intermediate_posttransfer_home_all"/>
    <m/>
    <m/>
    <m/>
    <m/>
    <m/>
    <m/>
    <s v="Proportion of all births at home post-transfer"/>
    <m/>
    <x v="91"/>
    <x v="10"/>
    <m/>
    <x v="1"/>
    <m/>
    <m/>
    <m/>
  </r>
  <r>
    <s v="intermediate_posttransfer_home_all"/>
    <m/>
    <m/>
    <m/>
    <m/>
    <m/>
    <m/>
    <s v="Proportion of all births at home post-transfer"/>
    <m/>
    <x v="32"/>
    <x v="10"/>
    <m/>
    <x v="2"/>
    <m/>
    <m/>
    <m/>
  </r>
  <r>
    <s v="intermediate_posttransfer_home_all"/>
    <m/>
    <m/>
    <m/>
    <m/>
    <m/>
    <m/>
    <s v="Proportion of all births at home post-transfer"/>
    <m/>
    <x v="32"/>
    <x v="10"/>
    <m/>
    <x v="3"/>
    <m/>
    <m/>
    <m/>
  </r>
  <r>
    <s v="intermediate_posttransfer_home_all"/>
    <m/>
    <m/>
    <m/>
    <m/>
    <m/>
    <m/>
    <s v="Proportion of all births at home post-transfer"/>
    <m/>
    <x v="32"/>
    <x v="10"/>
    <m/>
    <x v="4"/>
    <m/>
    <m/>
    <m/>
  </r>
  <r>
    <s v="intermediate_posttransfer_l23_all"/>
    <m/>
    <m/>
    <m/>
    <m/>
    <m/>
    <m/>
    <s v="Proportion of all births at L2/3 (0.27 + 0.122) - post transfer"/>
    <m/>
    <x v="91"/>
    <x v="10"/>
    <m/>
    <x v="1"/>
    <m/>
    <m/>
    <m/>
  </r>
  <r>
    <s v="intermediate_posttransfer_l23_all"/>
    <m/>
    <m/>
    <m/>
    <m/>
    <m/>
    <m/>
    <s v="Proportion of all births at L2/3 - post-transfer"/>
    <m/>
    <x v="32"/>
    <x v="10"/>
    <m/>
    <x v="2"/>
    <m/>
    <m/>
    <m/>
  </r>
  <r>
    <s v="intermediate_posttransfer_l23_all"/>
    <m/>
    <m/>
    <m/>
    <m/>
    <m/>
    <m/>
    <s v="Proportion of all births at L2/3 - post-transfer"/>
    <m/>
    <x v="32"/>
    <x v="10"/>
    <m/>
    <x v="3"/>
    <m/>
    <m/>
    <m/>
  </r>
  <r>
    <s v="intermediate_posttransfer_l23_all"/>
    <m/>
    <m/>
    <m/>
    <m/>
    <m/>
    <m/>
    <s v="Proportion of all births at L2/3 - post-transfer"/>
    <m/>
    <x v="32"/>
    <x v="10"/>
    <m/>
    <x v="4"/>
    <m/>
    <m/>
    <m/>
  </r>
  <r>
    <s v="intermediate_posttransfer_l45_all"/>
    <m/>
    <m/>
    <m/>
    <m/>
    <m/>
    <m/>
    <s v="Proportion of all births at L4/5 (0.38 - 0.122) - post-transfer"/>
    <m/>
    <x v="91"/>
    <x v="10"/>
    <m/>
    <x v="1"/>
    <m/>
    <m/>
    <m/>
  </r>
  <r>
    <s v="intermediate_posttransfer_l45_all"/>
    <m/>
    <m/>
    <m/>
    <m/>
    <m/>
    <m/>
    <s v="Proportion of all births at L4/5 - post-transfer"/>
    <m/>
    <x v="32"/>
    <x v="10"/>
    <m/>
    <x v="2"/>
    <m/>
    <m/>
    <m/>
  </r>
  <r>
    <s v="intermediate_posttransfer_l45_all"/>
    <m/>
    <m/>
    <m/>
    <m/>
    <m/>
    <m/>
    <s v="Proportion of all births at L4/5 - post-transfer"/>
    <m/>
    <x v="32"/>
    <x v="10"/>
    <m/>
    <x v="3"/>
    <m/>
    <m/>
    <m/>
  </r>
  <r>
    <s v="intermediate_posttransfer_l45_all"/>
    <m/>
    <m/>
    <m/>
    <m/>
    <m/>
    <m/>
    <s v="Proportion of all births at L4/5 - post-transfer"/>
    <m/>
    <x v="32"/>
    <x v="10"/>
    <m/>
    <x v="4"/>
    <m/>
    <m/>
    <m/>
  </r>
  <r>
    <s v="home_anc_target"/>
    <n v="7.0000000000000007E-2"/>
    <m/>
    <m/>
    <m/>
    <m/>
    <m/>
    <s v="Proportion of home births with 4+ ANC"/>
    <m/>
    <x v="92"/>
    <x v="10"/>
    <m/>
    <x v="1"/>
    <m/>
    <m/>
    <m/>
  </r>
  <r>
    <s v="home_anc_target"/>
    <m/>
    <m/>
    <m/>
    <m/>
    <m/>
    <m/>
    <s v="Proportion of home births with 4+ ANC"/>
    <m/>
    <x v="32"/>
    <x v="10"/>
    <m/>
    <x v="2"/>
    <m/>
    <m/>
    <m/>
  </r>
  <r>
    <s v="home_anc_target"/>
    <m/>
    <m/>
    <m/>
    <m/>
    <m/>
    <m/>
    <s v="Proportion of home births with 4+ ANC"/>
    <m/>
    <x v="32"/>
    <x v="10"/>
    <m/>
    <x v="3"/>
    <m/>
    <m/>
    <m/>
  </r>
  <r>
    <s v="home_anc_target"/>
    <m/>
    <m/>
    <m/>
    <m/>
    <m/>
    <m/>
    <s v="Proportion of home births with 4+ ANC"/>
    <m/>
    <x v="32"/>
    <x v="10"/>
    <m/>
    <x v="4"/>
    <m/>
    <m/>
    <m/>
  </r>
  <r>
    <s v="l23_anc_target"/>
    <n v="0.49"/>
    <m/>
    <m/>
    <m/>
    <m/>
    <m/>
    <s v="Proportion of L2/3 births with 4+ ANC"/>
    <s v="KL review Croke paper to check if this is coming from there, check DHS? Just note if available as option"/>
    <x v="93"/>
    <x v="10"/>
    <m/>
    <x v="1"/>
    <m/>
    <m/>
    <m/>
  </r>
  <r>
    <s v="l23_anc_target"/>
    <m/>
    <m/>
    <m/>
    <m/>
    <m/>
    <m/>
    <s v="Proportion of L2/3 births with 4+ ANC"/>
    <m/>
    <x v="67"/>
    <x v="10"/>
    <m/>
    <x v="2"/>
    <m/>
    <m/>
    <m/>
  </r>
  <r>
    <s v="l23_anc_target"/>
    <m/>
    <m/>
    <m/>
    <m/>
    <m/>
    <m/>
    <s v="Proportion of L2/3 births with 4+ ANC"/>
    <m/>
    <x v="67"/>
    <x v="10"/>
    <m/>
    <x v="3"/>
    <m/>
    <m/>
    <m/>
  </r>
  <r>
    <s v="l23_anc_target"/>
    <m/>
    <m/>
    <m/>
    <m/>
    <m/>
    <m/>
    <s v="Proportion of L2/3 births with 4+ ANC"/>
    <m/>
    <x v="67"/>
    <x v="10"/>
    <m/>
    <x v="4"/>
    <m/>
    <m/>
    <m/>
  </r>
  <r>
    <s v="l45_anc_target"/>
    <n v="0.439"/>
    <m/>
    <m/>
    <m/>
    <m/>
    <m/>
    <s v="Proportion of L4/5 births with 4+ ANC"/>
    <s v="KL review Croke paper to check if this is coming from there, check DHS? Just note if available as option"/>
    <x v="93"/>
    <x v="10"/>
    <m/>
    <x v="1"/>
    <m/>
    <m/>
    <m/>
  </r>
  <r>
    <s v="l45_anc_target"/>
    <m/>
    <m/>
    <m/>
    <m/>
    <m/>
    <m/>
    <s v="Proportion of L4/5 births with 4+ ANC"/>
    <m/>
    <x v="67"/>
    <x v="10"/>
    <m/>
    <x v="2"/>
    <m/>
    <m/>
    <m/>
  </r>
  <r>
    <s v="l45_anc_target"/>
    <m/>
    <m/>
    <m/>
    <m/>
    <m/>
    <m/>
    <s v="Proportion of L4/5 births with 4+ ANC"/>
    <m/>
    <x v="67"/>
    <x v="10"/>
    <m/>
    <x v="3"/>
    <m/>
    <m/>
    <m/>
  </r>
  <r>
    <s v="l45_anc_target"/>
    <m/>
    <m/>
    <m/>
    <m/>
    <m/>
    <m/>
    <s v="Proportion of L4/5 births with 4+ ANC"/>
    <m/>
    <x v="67"/>
    <x v="10"/>
    <m/>
    <x v="4"/>
    <m/>
    <m/>
    <m/>
  </r>
  <r>
    <s v="preterm_fac_target"/>
    <n v="0.13400000000000001"/>
    <m/>
    <m/>
    <m/>
    <m/>
    <m/>
    <s v="Preterm birth rate in facilities"/>
    <s v="from tingting: FOR preterm_fac_target, elective_CS_target, elective_CS_preterm_target, they are calibration targets, you can see all calibration criteria in google sheet: https://docs.google.com/spreadsheets/d/1_KWfykVOvnAyxL2UmktkOAQ39-pZtA4vYm6BtTr8tk0/edit?gid=1368838278#gid=1368838278"/>
    <x v="0"/>
    <x v="10"/>
    <m/>
    <x v="1"/>
    <m/>
    <m/>
    <m/>
  </r>
  <r>
    <s v="preterm_fac_target"/>
    <m/>
    <m/>
    <m/>
    <m/>
    <m/>
    <m/>
    <s v="Preterm birth rate in facilities"/>
    <m/>
    <x v="0"/>
    <x v="10"/>
    <m/>
    <x v="2"/>
    <m/>
    <m/>
    <m/>
  </r>
  <r>
    <s v="preterm_fac_target"/>
    <m/>
    <m/>
    <m/>
    <m/>
    <m/>
    <m/>
    <s v="Preterm birth rate in facilities"/>
    <m/>
    <x v="0"/>
    <x v="10"/>
    <m/>
    <x v="3"/>
    <m/>
    <m/>
    <m/>
  </r>
  <r>
    <s v="preterm_fac_target"/>
    <m/>
    <m/>
    <m/>
    <m/>
    <m/>
    <m/>
    <s v="Preterm birth rate in facilities"/>
    <m/>
    <x v="0"/>
    <x v="10"/>
    <m/>
    <x v="4"/>
    <m/>
    <m/>
    <m/>
  </r>
  <r>
    <s v="elective_CS_target"/>
    <n v="0.06"/>
    <m/>
    <m/>
    <m/>
    <m/>
    <m/>
    <s v="Proportion elective CS"/>
    <s v="from tingting: FOR preterm_fac_target, elective_CS_target, elective_CS_preterm_target, they are calibration targets, you can see all calibration criteria in google sheet: https://docs.google.com/spreadsheets/d/1_KWfykVOvnAyxL2UmktkOAQ39-pZtA4vYm6BtTr8tk0/edit?gid=1368838278#gid=1368838278"/>
    <x v="94"/>
    <x v="10"/>
    <m/>
    <x v="1"/>
    <m/>
    <m/>
    <m/>
  </r>
  <r>
    <s v="elective_CS_target"/>
    <m/>
    <m/>
    <m/>
    <m/>
    <m/>
    <m/>
    <s v="Proportion elective CS"/>
    <m/>
    <x v="94"/>
    <x v="10"/>
    <m/>
    <x v="2"/>
    <m/>
    <m/>
    <m/>
  </r>
  <r>
    <s v="elective_CS_target"/>
    <m/>
    <m/>
    <m/>
    <m/>
    <m/>
    <m/>
    <s v="Proportion elective CS"/>
    <m/>
    <x v="94"/>
    <x v="10"/>
    <m/>
    <x v="3"/>
    <m/>
    <m/>
    <m/>
  </r>
  <r>
    <s v="elective_CS_target"/>
    <m/>
    <m/>
    <m/>
    <m/>
    <m/>
    <m/>
    <s v="Proportion elective CS"/>
    <m/>
    <x v="94"/>
    <x v="10"/>
    <m/>
    <x v="4"/>
    <m/>
    <m/>
    <m/>
  </r>
  <r>
    <s v="elective_CS_preterm_target"/>
    <n v="0.26500000000000001"/>
    <m/>
    <m/>
    <m/>
    <m/>
    <m/>
    <s v="Proportion elective CS among preterm"/>
    <s v="from tingting: FOR preterm_fac_target, elective_CS_target, elective_CS_preterm_target, they are calibration targets, you can see all calibration criteria in google sheet: https://docs.google.com/spreadsheets/d/1_KWfykVOvnAyxL2UmktkOAQ39-pZtA4vYm6BtTr8tk0/edit?gid=1368838278#gid=1368838278"/>
    <x v="95"/>
    <x v="10"/>
    <m/>
    <x v="1"/>
    <m/>
    <m/>
    <m/>
  </r>
  <r>
    <s v="elective_CS_preterm_target"/>
    <m/>
    <m/>
    <m/>
    <m/>
    <m/>
    <m/>
    <s v="Proportion elective CS among preterm"/>
    <m/>
    <x v="95"/>
    <x v="10"/>
    <m/>
    <x v="2"/>
    <m/>
    <m/>
    <m/>
  </r>
  <r>
    <s v="elective_CS_preterm_target"/>
    <m/>
    <m/>
    <m/>
    <m/>
    <m/>
    <m/>
    <s v="Proportion elective CS among preterm"/>
    <m/>
    <x v="95"/>
    <x v="10"/>
    <m/>
    <x v="3"/>
    <m/>
    <m/>
    <m/>
  </r>
  <r>
    <s v="elective_CS_preterm_target"/>
    <m/>
    <m/>
    <m/>
    <m/>
    <m/>
    <m/>
    <s v="Proportion elective CS among preterm"/>
    <m/>
    <x v="95"/>
    <x v="10"/>
    <m/>
    <x v="4"/>
    <m/>
    <m/>
    <m/>
  </r>
  <r>
    <s v="base_knowledge_L45_slider"/>
    <n v="0.6"/>
    <m/>
    <m/>
    <m/>
    <s v="scalar"/>
    <m/>
    <s v="default value - HCW knowledge score at L4/5"/>
    <m/>
    <x v="41"/>
    <x v="11"/>
    <m/>
    <x v="1"/>
    <m/>
    <m/>
    <m/>
  </r>
  <r>
    <s v="base_knowledge_L45_slider"/>
    <m/>
    <m/>
    <m/>
    <m/>
    <s v="scalar"/>
    <m/>
    <s v="default value - HCW knowledge score at L4/5"/>
    <m/>
    <x v="32"/>
    <x v="11"/>
    <m/>
    <x v="2"/>
    <m/>
    <m/>
    <m/>
  </r>
  <r>
    <s v="base_knowledge_L45_slider"/>
    <m/>
    <m/>
    <m/>
    <m/>
    <s v="scalar"/>
    <m/>
    <s v="default value - HCW knowledge score at L4/5"/>
    <m/>
    <x v="32"/>
    <x v="11"/>
    <m/>
    <x v="3"/>
    <m/>
    <m/>
    <m/>
  </r>
  <r>
    <s v="base_knowledge_L45_slider"/>
    <m/>
    <m/>
    <m/>
    <m/>
    <s v="scalar"/>
    <m/>
    <s v="default value - HCW knowledge score at L4/5"/>
    <m/>
    <x v="32"/>
    <x v="11"/>
    <m/>
    <x v="4"/>
    <m/>
    <m/>
    <m/>
  </r>
  <r>
    <s v="base_p_45_slider"/>
    <n v="0.38159999999999999"/>
    <m/>
    <m/>
    <m/>
    <s v="scalar"/>
    <m/>
    <s v="default value - Baseline P(deliver at L4/5) = (20709+5126)/67760"/>
    <m/>
    <x v="96"/>
    <x v="11"/>
    <m/>
    <x v="1"/>
    <m/>
    <m/>
    <m/>
  </r>
  <r>
    <s v="base_p_45_slider"/>
    <m/>
    <m/>
    <m/>
    <m/>
    <s v="scalar"/>
    <m/>
    <s v="default value - Baseline P(deliver at L4/5) = (20709+5126)/67760"/>
    <m/>
    <x v="32"/>
    <x v="11"/>
    <m/>
    <x v="2"/>
    <m/>
    <m/>
    <m/>
  </r>
  <r>
    <s v="base_p_45_slider"/>
    <m/>
    <m/>
    <m/>
    <m/>
    <s v="scalar"/>
    <m/>
    <s v="default value - Baseline P(deliver at L4/5) = (20709+5126)/67760"/>
    <m/>
    <x v="32"/>
    <x v="11"/>
    <m/>
    <x v="3"/>
    <m/>
    <m/>
    <m/>
  </r>
  <r>
    <s v="base_p_45_slider"/>
    <m/>
    <m/>
    <m/>
    <m/>
    <s v="scalar"/>
    <m/>
    <s v="default value - Baseline P(deliver at L4/5) = (20709+5126)/67760"/>
    <m/>
    <x v="32"/>
    <x v="11"/>
    <m/>
    <x v="4"/>
    <m/>
    <m/>
    <m/>
  </r>
  <r>
    <s v="p_ANC_base_slider"/>
    <n v="0.56000000000000005"/>
    <m/>
    <m/>
    <m/>
    <s v="scalar"/>
    <m/>
    <s v="default value - P(4+ ANC visits)"/>
    <m/>
    <x v="36"/>
    <x v="11"/>
    <m/>
    <x v="1"/>
    <m/>
    <m/>
    <m/>
  </r>
  <r>
    <s v="p_ANC_base_slider"/>
    <m/>
    <m/>
    <m/>
    <m/>
    <s v="scalar"/>
    <m/>
    <s v="default value - P(4+ ANC visits)"/>
    <m/>
    <x v="32"/>
    <x v="11"/>
    <m/>
    <x v="2"/>
    <m/>
    <m/>
    <m/>
  </r>
  <r>
    <s v="p_ANC_base_slider"/>
    <m/>
    <m/>
    <m/>
    <m/>
    <s v="scalar"/>
    <m/>
    <s v="default value - P(4+ ANC visits)"/>
    <m/>
    <x v="32"/>
    <x v="11"/>
    <m/>
    <x v="3"/>
    <m/>
    <m/>
    <m/>
  </r>
  <r>
    <s v="p_ANC_base_slider"/>
    <m/>
    <m/>
    <m/>
    <m/>
    <s v="scalar"/>
    <m/>
    <s v="default value - P(4+ ANC visits)"/>
    <m/>
    <x v="32"/>
    <x v="11"/>
    <m/>
    <x v="4"/>
    <m/>
    <m/>
    <m/>
  </r>
  <r>
    <s v="S_iv_iron_slider"/>
    <n v="0.44"/>
    <m/>
    <m/>
    <m/>
    <s v="scalar"/>
    <m/>
    <s v="default value - IV iron supply level"/>
    <s v="not specific to kenya, can repeat for other counties (includes  Nigeria, Kenya, India, Pakistan, Bangladesh)"/>
    <x v="65"/>
    <x v="11"/>
    <m/>
    <x v="1"/>
    <m/>
    <m/>
    <m/>
  </r>
  <r>
    <s v="S_iv_iron_slider"/>
    <m/>
    <m/>
    <m/>
    <m/>
    <s v="scalar"/>
    <m/>
    <s v="default value - IV iron supply level"/>
    <m/>
    <x v="65"/>
    <x v="11"/>
    <m/>
    <x v="2"/>
    <m/>
    <m/>
    <m/>
  </r>
  <r>
    <s v="S_iv_iron_slider"/>
    <m/>
    <m/>
    <m/>
    <m/>
    <s v="scalar"/>
    <m/>
    <s v="default value - IV iron supply level"/>
    <m/>
    <x v="65"/>
    <x v="11"/>
    <m/>
    <x v="3"/>
    <m/>
    <m/>
    <m/>
  </r>
  <r>
    <s v="S_iv_iron_slider"/>
    <m/>
    <m/>
    <m/>
    <m/>
    <s v="scalar"/>
    <m/>
    <s v="default value - IV iron supply level"/>
    <m/>
    <x v="65"/>
    <x v="11"/>
    <m/>
    <x v="4"/>
    <m/>
    <m/>
    <m/>
  </r>
  <r>
    <s v="t_l23_l45_notsevere_slider"/>
    <n v="76"/>
    <m/>
    <m/>
    <m/>
    <s v="scalar"/>
    <m/>
    <s v="default value - Referral probability L2/3 to L4/5 (not severe)"/>
    <m/>
    <x v="45"/>
    <x v="11"/>
    <m/>
    <x v="1"/>
    <m/>
    <m/>
    <m/>
  </r>
  <r>
    <s v="S_pph_bundle_slider"/>
    <s v="[0, 0, 0, 0]"/>
    <m/>
    <m/>
    <m/>
    <s v="array"/>
    <m/>
    <s v="default value - PPH bundle supply [home, L2/3, L4, L5]"/>
    <s v="not specific to kenya, can repeat for other counties (includes Kenya, Nigeria, South Africa, Tanzania)"/>
    <x v="51"/>
    <x v="11"/>
    <m/>
    <x v="1"/>
    <m/>
    <m/>
    <m/>
  </r>
  <r>
    <s v="S_pph_bundle_slider"/>
    <m/>
    <m/>
    <m/>
    <m/>
    <s v="array"/>
    <m/>
    <s v="default value - PPH bundle supply [home, L2/3, L4, L5]"/>
    <m/>
    <x v="51"/>
    <x v="11"/>
    <m/>
    <x v="2"/>
    <m/>
    <m/>
    <m/>
  </r>
  <r>
    <s v="S_pph_bundle_slider"/>
    <m/>
    <m/>
    <m/>
    <m/>
    <s v="array"/>
    <m/>
    <s v="default value - PPH bundle supply [home, L2/3, L4, L5]"/>
    <m/>
    <x v="51"/>
    <x v="11"/>
    <m/>
    <x v="3"/>
    <m/>
    <m/>
    <m/>
  </r>
  <r>
    <s v="S_pph_bundle_slider"/>
    <m/>
    <m/>
    <m/>
    <m/>
    <s v="array"/>
    <m/>
    <s v="default value - PPH bundle supply [home, L2/3, L4, L5]"/>
    <m/>
    <x v="51"/>
    <x v="11"/>
    <m/>
    <x v="4"/>
    <m/>
    <m/>
    <m/>
  </r>
  <r>
    <s v="S_MgSO4_slider"/>
    <s v="[0, 0, 0.77, 0.77]"/>
    <m/>
    <m/>
    <m/>
    <s v="array"/>
    <m/>
    <s v="default value - MgSO4 supply [home, L2/3, L4, L5]"/>
    <s v="not specific to kakamega, can repeat for other counties (covers 27 counties across Kenya)"/>
    <x v="52"/>
    <x v="11"/>
    <m/>
    <x v="1"/>
    <m/>
    <m/>
    <m/>
  </r>
  <r>
    <s v="S_MgSO4_slider"/>
    <m/>
    <m/>
    <m/>
    <m/>
    <s v="array"/>
    <m/>
    <s v="default value - MgSO4 supply [home, L2/3, L4, L5]"/>
    <m/>
    <x v="52"/>
    <x v="11"/>
    <m/>
    <x v="2"/>
    <m/>
    <m/>
    <m/>
  </r>
  <r>
    <s v="S_MgSO4_slider"/>
    <m/>
    <m/>
    <m/>
    <m/>
    <s v="array"/>
    <m/>
    <s v="default value - MgSO4 supply [home, L2/3, L4, L5]"/>
    <m/>
    <x v="52"/>
    <x v="11"/>
    <m/>
    <x v="3"/>
    <m/>
    <m/>
    <m/>
  </r>
  <r>
    <s v="S_MgSO4_slider"/>
    <m/>
    <m/>
    <m/>
    <m/>
    <s v="array"/>
    <m/>
    <s v="default value - MgSO4 supply [home, L2/3, L4, L5]"/>
    <m/>
    <x v="52"/>
    <x v="11"/>
    <m/>
    <x v="4"/>
    <m/>
    <m/>
    <m/>
  </r>
  <r>
    <s v="S_antibiotics_slider"/>
    <s v="[0, 0, 0.48, 0.48]"/>
    <m/>
    <m/>
    <m/>
    <s v="array"/>
    <m/>
    <s v="default value - Antibiotics supply [home, L2/3, L4, L5]"/>
    <s v="not specific to kakamega, can repeat for other counties (it is Nairobi, Mombasa, Uasin Gishu)"/>
    <x v="59"/>
    <x v="11"/>
    <m/>
    <x v="1"/>
    <m/>
    <m/>
    <m/>
  </r>
  <r>
    <s v="S_antibiotics_slider"/>
    <m/>
    <m/>
    <m/>
    <m/>
    <s v="array"/>
    <m/>
    <s v="default value - Antibiotics supply [home, L2/3, L4, L5]"/>
    <m/>
    <x v="59"/>
    <x v="11"/>
    <m/>
    <x v="2"/>
    <m/>
    <m/>
    <m/>
  </r>
  <r>
    <s v="S_antibiotics_slider"/>
    <m/>
    <m/>
    <m/>
    <m/>
    <s v="array"/>
    <m/>
    <s v="default value - Antibiotics supply [home, L2/3, L4, L5]"/>
    <m/>
    <x v="59"/>
    <x v="11"/>
    <m/>
    <x v="3"/>
    <m/>
    <m/>
    <m/>
  </r>
  <r>
    <s v="S_antibiotics_slider"/>
    <m/>
    <m/>
    <m/>
    <m/>
    <s v="array"/>
    <m/>
    <s v="default value - Antibiotics supply [home, L2/3, L4, L5]"/>
    <m/>
    <x v="59"/>
    <x v="11"/>
    <m/>
    <x v="4"/>
    <m/>
    <m/>
    <m/>
  </r>
  <r>
    <s v="S_oxytocin_slider"/>
    <s v="[0, 0, 0.78, 0.78]"/>
    <m/>
    <m/>
    <m/>
    <s v="array"/>
    <m/>
    <s v="default value - Oxytocin supply [home, L2/3, L4, L5]"/>
    <s v="not specific to kakamega, can repeat for other counties"/>
    <x v="63"/>
    <x v="11"/>
    <m/>
    <x v="1"/>
    <m/>
    <m/>
    <m/>
  </r>
  <r>
    <s v="S_oxytocin_slider"/>
    <m/>
    <m/>
    <m/>
    <m/>
    <s v="array"/>
    <m/>
    <s v="default value - Oxytocin supply [home, L2/3, L4, L5]"/>
    <m/>
    <x v="63"/>
    <x v="11"/>
    <m/>
    <x v="2"/>
    <m/>
    <m/>
    <m/>
  </r>
  <r>
    <s v="S_oxytocin_slider"/>
    <m/>
    <m/>
    <m/>
    <m/>
    <s v="array"/>
    <m/>
    <s v="default value - Oxytocin supply [home, L2/3, L4, L5]"/>
    <m/>
    <x v="63"/>
    <x v="11"/>
    <m/>
    <x v="3"/>
    <m/>
    <m/>
    <m/>
  </r>
  <r>
    <s v="S_oxytocin_slider"/>
    <m/>
    <m/>
    <m/>
    <m/>
    <s v="array"/>
    <m/>
    <s v="default value - Oxytocin supply [home, L2/3, L4, L5]"/>
    <m/>
    <x v="63"/>
    <x v="11"/>
    <m/>
    <x v="4"/>
    <m/>
    <m/>
    <m/>
  </r>
  <r>
    <s v="p_l45_anc_slider"/>
    <n v="0.25556499999999999"/>
    <m/>
    <m/>
    <m/>
    <m/>
    <m/>
    <s v="P(L4/5) at 56% ANC coverage"/>
    <s v="from tingting: p_l45_anc_slider, it is calculated from this function &quot;ANC_LB_effect_slider&quot;. I precalculate the relationship between ANC rate and L45 rate using this function for slider use. Since for SDR, increasing ANC can increase L45 rate too."/>
    <x v="97"/>
    <x v="12"/>
    <n v="0.56000000000000005"/>
    <x v="0"/>
    <m/>
    <m/>
    <m/>
  </r>
  <r>
    <s v="p_l45_anc_slider"/>
    <n v="0.26352999999999999"/>
    <m/>
    <m/>
    <m/>
    <m/>
    <m/>
    <s v="P(L4/5) at 58% ANC coverage"/>
    <m/>
    <x v="97"/>
    <x v="12"/>
    <n v="0.57999999999999996"/>
    <x v="0"/>
    <m/>
    <m/>
    <m/>
  </r>
  <r>
    <s v="p_l45_anc_slider"/>
    <n v="0.27029799999999998"/>
    <m/>
    <m/>
    <m/>
    <m/>
    <m/>
    <s v="P(L4/5) at 60% ANC coverage"/>
    <m/>
    <x v="97"/>
    <x v="12"/>
    <n v="0.6"/>
    <x v="0"/>
    <m/>
    <m/>
    <m/>
  </r>
  <r>
    <s v="p_l45_anc_slider"/>
    <n v="0.27773599999999998"/>
    <m/>
    <m/>
    <m/>
    <m/>
    <m/>
    <s v="P(L4/5) at 62% ANC coverage"/>
    <m/>
    <x v="97"/>
    <x v="12"/>
    <n v="0.62"/>
    <x v="0"/>
    <m/>
    <m/>
    <m/>
  </r>
  <r>
    <s v="p_l45_anc_slider"/>
    <n v="0.28419899999999998"/>
    <m/>
    <m/>
    <m/>
    <m/>
    <m/>
    <s v="P(L4/5) at 64% ANC coverage"/>
    <m/>
    <x v="97"/>
    <x v="12"/>
    <n v="0.64"/>
    <x v="0"/>
    <m/>
    <m/>
    <m/>
  </r>
  <r>
    <s v="p_l45_anc_slider"/>
    <n v="0.291049"/>
    <m/>
    <m/>
    <m/>
    <m/>
    <m/>
    <s v="P(L4/5) at 66% ANC coverage"/>
    <m/>
    <x v="97"/>
    <x v="12"/>
    <n v="0.66"/>
    <x v="0"/>
    <m/>
    <m/>
    <m/>
  </r>
  <r>
    <s v="p_l45_anc_slider"/>
    <n v="0.29649199999999998"/>
    <m/>
    <m/>
    <m/>
    <m/>
    <m/>
    <s v="P(L4/5) at 68% ANC coverage"/>
    <m/>
    <x v="97"/>
    <x v="12"/>
    <n v="0.68"/>
    <x v="0"/>
    <m/>
    <m/>
    <m/>
  </r>
  <r>
    <s v="p_l45_anc_slider"/>
    <n v="0.304284"/>
    <m/>
    <m/>
    <m/>
    <m/>
    <m/>
    <s v="P(L4/5) at 70% ANC coverage"/>
    <m/>
    <x v="97"/>
    <x v="12"/>
    <n v="0.7"/>
    <x v="0"/>
    <m/>
    <m/>
    <m/>
  </r>
  <r>
    <s v="p_l45_anc_slider"/>
    <n v="0.31103500000000001"/>
    <m/>
    <m/>
    <m/>
    <m/>
    <m/>
    <s v="P(L4/5) at 72% ANC coverage"/>
    <m/>
    <x v="97"/>
    <x v="12"/>
    <n v="0.72"/>
    <x v="0"/>
    <m/>
    <m/>
    <m/>
  </r>
  <r>
    <s v="p_l45_anc_slider"/>
    <n v="0.31858799999999998"/>
    <m/>
    <m/>
    <m/>
    <m/>
    <m/>
    <s v="P(L4/5) at 74% ANC coverage"/>
    <m/>
    <x v="97"/>
    <x v="12"/>
    <n v="0.74"/>
    <x v="0"/>
    <m/>
    <m/>
    <m/>
  </r>
  <r>
    <s v="p_l45_anc_slider"/>
    <n v="0.32582100000000003"/>
    <m/>
    <m/>
    <m/>
    <m/>
    <m/>
    <s v="P(L4/5) at 76% ANC coverage"/>
    <m/>
    <x v="97"/>
    <x v="12"/>
    <n v="0.76"/>
    <x v="0"/>
    <m/>
    <m/>
    <m/>
  </r>
  <r>
    <s v="p_l45_anc_slider"/>
    <n v="0.33354499999999998"/>
    <m/>
    <m/>
    <m/>
    <m/>
    <m/>
    <s v="P(L4/5) at 78% ANC coverage"/>
    <m/>
    <x v="97"/>
    <x v="12"/>
    <n v="0.78"/>
    <x v="0"/>
    <m/>
    <m/>
    <m/>
  </r>
  <r>
    <s v="p_l45_anc_slider"/>
    <n v="0.33976400000000001"/>
    <m/>
    <m/>
    <m/>
    <m/>
    <m/>
    <s v="P(L4/5) at 80% ANC coverage"/>
    <m/>
    <x v="97"/>
    <x v="12"/>
    <n v="0.8"/>
    <x v="0"/>
    <m/>
    <m/>
    <m/>
  </r>
  <r>
    <s v="p_l45_anc_slider"/>
    <n v="0.34668399999999999"/>
    <m/>
    <m/>
    <m/>
    <m/>
    <m/>
    <s v="P(L4/5) at 82% ANC coverage"/>
    <m/>
    <x v="97"/>
    <x v="12"/>
    <n v="0.82"/>
    <x v="0"/>
    <m/>
    <m/>
    <m/>
  </r>
  <r>
    <s v="p_l45_anc_slider"/>
    <n v="0.35390100000000002"/>
    <m/>
    <m/>
    <m/>
    <m/>
    <m/>
    <s v="P(L4/5) at 84% ANC coverage"/>
    <m/>
    <x v="97"/>
    <x v="12"/>
    <n v="0.84"/>
    <x v="0"/>
    <m/>
    <m/>
    <m/>
  </r>
  <r>
    <s v="p_l45_anc_slider"/>
    <n v="0.36054599999999998"/>
    <m/>
    <m/>
    <m/>
    <m/>
    <m/>
    <s v="P(L4/5) at 86% ANC coverage"/>
    <m/>
    <x v="97"/>
    <x v="12"/>
    <n v="0.86"/>
    <x v="0"/>
    <m/>
    <m/>
    <m/>
  </r>
  <r>
    <s v="p_l45_anc_slider"/>
    <n v="0.367761"/>
    <m/>
    <m/>
    <m/>
    <m/>
    <m/>
    <s v="P(L4/5) at 88% ANC coverage"/>
    <m/>
    <x v="97"/>
    <x v="12"/>
    <n v="0.88"/>
    <x v="0"/>
    <m/>
    <m/>
    <m/>
  </r>
  <r>
    <s v="p_l45_anc_slider"/>
    <n v="0.374581"/>
    <m/>
    <m/>
    <m/>
    <m/>
    <m/>
    <s v="P(L4/5) at 90% ANC coverage"/>
    <m/>
    <x v="97"/>
    <x v="12"/>
    <n v="0.9"/>
    <x v="0"/>
    <m/>
    <m/>
    <m/>
  </r>
  <r>
    <s v="p_l45_anc_slider"/>
    <n v="0.38114999999999999"/>
    <m/>
    <m/>
    <m/>
    <m/>
    <m/>
    <s v="P(L4/5) at 92% ANC coverage"/>
    <m/>
    <x v="97"/>
    <x v="12"/>
    <n v="0.92"/>
    <x v="0"/>
    <m/>
    <m/>
    <m/>
  </r>
  <r>
    <s v="p_l45_anc_slider"/>
    <n v="0.38903199999999999"/>
    <m/>
    <m/>
    <m/>
    <m/>
    <m/>
    <s v="P(L4/5) at 94% ANC coverage"/>
    <m/>
    <x v="97"/>
    <x v="12"/>
    <n v="0.94"/>
    <x v="0"/>
    <m/>
    <m/>
    <m/>
  </r>
  <r>
    <s v="p_l45_anc_slider"/>
    <n v="0.39443299999999998"/>
    <m/>
    <m/>
    <m/>
    <m/>
    <m/>
    <s v="P(L4/5) at 96% ANC coverage"/>
    <m/>
    <x v="97"/>
    <x v="12"/>
    <n v="0.96"/>
    <x v="0"/>
    <m/>
    <m/>
    <m/>
  </r>
  <r>
    <s v="p_l45_anc_slider"/>
    <n v="0.401752"/>
    <m/>
    <m/>
    <m/>
    <m/>
    <m/>
    <s v="P(L4/5) at 98% ANC coverage"/>
    <m/>
    <x v="97"/>
    <x v="12"/>
    <n v="0.98"/>
    <x v="0"/>
    <m/>
    <m/>
    <m/>
  </r>
  <r>
    <s v="p_l45_anc_slider"/>
    <n v="0.40764800000000001"/>
    <m/>
    <m/>
    <m/>
    <m/>
    <m/>
    <s v="P(L4/5) at 100% ANC coverage"/>
    <m/>
    <x v="97"/>
    <x v="12"/>
    <n v="1"/>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710887-CFD7-BE4F-92A9-8CCAB65CCCD4}" name="PivotTable7" cacheId="15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5:B141"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112">
        <item x="65"/>
        <item x="74"/>
        <item x="30"/>
        <item x="97"/>
        <item x="69"/>
        <item x="70"/>
        <item x="35"/>
        <item m="1" x="108"/>
        <item x="78"/>
        <item x="88"/>
        <item x="90"/>
        <item x="93"/>
        <item x="73"/>
        <item x="44"/>
        <item x="28"/>
        <item x="20"/>
        <item x="4"/>
        <item x="76"/>
        <item x="23"/>
        <item x="64"/>
        <item x="40"/>
        <item x="92"/>
        <item x="8"/>
        <item m="1" x="110"/>
        <item x="36"/>
        <item x="3"/>
        <item x="29"/>
        <item x="6"/>
        <item x="18"/>
        <item x="77"/>
        <item x="24"/>
        <item x="27"/>
        <item x="71"/>
        <item x="89"/>
        <item x="95"/>
        <item x="22"/>
        <item x="5"/>
        <item x="51"/>
        <item x="66"/>
        <item m="1" x="98"/>
        <item x="1"/>
        <item x="79"/>
        <item x="17"/>
        <item x="33"/>
        <item x="50"/>
        <item x="49"/>
        <item x="63"/>
        <item x="2"/>
        <item x="26"/>
        <item x="72"/>
        <item x="82"/>
        <item x="15"/>
        <item x="19"/>
        <item x="16"/>
        <item x="48"/>
        <item x="87"/>
        <item x="41"/>
        <item x="11"/>
        <item x="59"/>
        <item x="52"/>
        <item x="21"/>
        <item x="43"/>
        <item x="45"/>
        <item x="47"/>
        <item x="75"/>
        <item x="12"/>
        <item x="13"/>
        <item x="25"/>
        <item x="31"/>
        <item x="14"/>
        <item x="94"/>
        <item x="9"/>
        <item x="86"/>
        <item x="81"/>
        <item x="83"/>
        <item x="85"/>
        <item x="84"/>
        <item m="1" x="109"/>
        <item x="0"/>
        <item x="80"/>
        <item x="10"/>
        <item x="7"/>
        <item x="32"/>
        <item x="34"/>
        <item x="46"/>
        <item x="37"/>
        <item x="38"/>
        <item x="39"/>
        <item x="42"/>
        <item x="53"/>
        <item x="54"/>
        <item x="55"/>
        <item x="56"/>
        <item x="57"/>
        <item x="58"/>
        <item x="60"/>
        <item x="61"/>
        <item x="62"/>
        <item m="1" x="99"/>
        <item m="1" x="100"/>
        <item m="1" x="101"/>
        <item m="1" x="102"/>
        <item m="1" x="103"/>
        <item m="1" x="104"/>
        <item m="1" x="105"/>
        <item m="1" x="106"/>
        <item m="1" x="107"/>
        <item x="91"/>
        <item x="67"/>
        <item x="96"/>
        <item x="68"/>
        <item t="default"/>
      </items>
    </pivotField>
    <pivotField axis="axisRow" showAll="0">
      <items count="14">
        <item x="2"/>
        <item sd="0" x="10"/>
        <item x="7"/>
        <item x="8"/>
        <item x="4"/>
        <item x="3"/>
        <item x="6"/>
        <item x="5"/>
        <item x="9"/>
        <item x="1"/>
        <item x="12"/>
        <item x="0"/>
        <item x="11"/>
        <item t="default"/>
      </items>
    </pivotField>
    <pivotField showAll="0"/>
    <pivotField axis="axisRow" showAll="0">
      <items count="6">
        <item h="1" x="1"/>
        <item x="2"/>
        <item x="3"/>
        <item x="4"/>
        <item h="1" x="0"/>
        <item t="default"/>
      </items>
    </pivotField>
    <pivotField showAll="0"/>
    <pivotField showAll="0"/>
    <pivotField showAll="0"/>
  </pivotFields>
  <rowFields count="3">
    <field x="10"/>
    <field x="12"/>
    <field x="9"/>
  </rowFields>
  <rowItems count="96">
    <i>
      <x v="1"/>
    </i>
    <i>
      <x v="4"/>
    </i>
    <i r="1">
      <x v="1"/>
    </i>
    <i r="2">
      <x v="82"/>
    </i>
    <i r="2">
      <x v="84"/>
    </i>
    <i r="1">
      <x v="2"/>
    </i>
    <i r="2">
      <x v="82"/>
    </i>
    <i r="2">
      <x v="84"/>
    </i>
    <i r="1">
      <x v="3"/>
    </i>
    <i r="2">
      <x v="82"/>
    </i>
    <i r="2">
      <x v="84"/>
    </i>
    <i>
      <x v="5"/>
    </i>
    <i r="1">
      <x v="1"/>
    </i>
    <i r="2">
      <x v="82"/>
    </i>
    <i r="2">
      <x v="83"/>
    </i>
    <i r="2">
      <x v="85"/>
    </i>
    <i r="2">
      <x v="88"/>
    </i>
    <i r="1">
      <x v="2"/>
    </i>
    <i r="2">
      <x v="82"/>
    </i>
    <i r="2">
      <x v="83"/>
    </i>
    <i r="2">
      <x v="86"/>
    </i>
    <i r="2">
      <x v="88"/>
    </i>
    <i r="1">
      <x v="3"/>
    </i>
    <i r="2">
      <x v="82"/>
    </i>
    <i r="2">
      <x v="83"/>
    </i>
    <i r="2">
      <x v="87"/>
    </i>
    <i r="2">
      <x v="88"/>
    </i>
    <i>
      <x v="6"/>
    </i>
    <i r="1">
      <x v="1"/>
    </i>
    <i r="2">
      <x v="108"/>
    </i>
    <i r="1">
      <x v="2"/>
    </i>
    <i r="2">
      <x v="108"/>
    </i>
    <i r="1">
      <x v="3"/>
    </i>
    <i r="2">
      <x v="108"/>
    </i>
    <i>
      <x v="7"/>
    </i>
    <i r="1">
      <x v="1"/>
    </i>
    <i r="2">
      <x/>
    </i>
    <i r="2">
      <x v="19"/>
    </i>
    <i r="2">
      <x v="37"/>
    </i>
    <i r="2">
      <x v="46"/>
    </i>
    <i r="2">
      <x v="58"/>
    </i>
    <i r="2">
      <x v="59"/>
    </i>
    <i r="2">
      <x v="82"/>
    </i>
    <i r="2">
      <x v="85"/>
    </i>
    <i r="2">
      <x v="89"/>
    </i>
    <i r="2">
      <x v="90"/>
    </i>
    <i r="2">
      <x v="91"/>
    </i>
    <i r="2">
      <x v="95"/>
    </i>
    <i r="2">
      <x v="96"/>
    </i>
    <i r="2">
      <x v="97"/>
    </i>
    <i r="1">
      <x v="2"/>
    </i>
    <i r="2">
      <x/>
    </i>
    <i r="2">
      <x v="19"/>
    </i>
    <i r="2">
      <x v="37"/>
    </i>
    <i r="2">
      <x v="46"/>
    </i>
    <i r="2">
      <x v="58"/>
    </i>
    <i r="2">
      <x v="59"/>
    </i>
    <i r="2">
      <x v="82"/>
    </i>
    <i r="2">
      <x v="85"/>
    </i>
    <i r="2">
      <x v="92"/>
    </i>
    <i r="2">
      <x v="93"/>
    </i>
    <i r="2">
      <x v="94"/>
    </i>
    <i r="2">
      <x v="97"/>
    </i>
    <i r="1">
      <x v="3"/>
    </i>
    <i r="2">
      <x/>
    </i>
    <i r="2">
      <x v="19"/>
    </i>
    <i r="2">
      <x v="37"/>
    </i>
    <i r="2">
      <x v="46"/>
    </i>
    <i r="2">
      <x v="58"/>
    </i>
    <i r="2">
      <x v="59"/>
    </i>
    <i r="2">
      <x v="82"/>
    </i>
    <i r="2">
      <x v="85"/>
    </i>
    <i r="2">
      <x v="97"/>
    </i>
    <i>
      <x v="12"/>
    </i>
    <i r="1">
      <x v="1"/>
    </i>
    <i r="2">
      <x/>
    </i>
    <i r="2">
      <x v="37"/>
    </i>
    <i r="2">
      <x v="46"/>
    </i>
    <i r="2">
      <x v="58"/>
    </i>
    <i r="2">
      <x v="59"/>
    </i>
    <i r="2">
      <x v="82"/>
    </i>
    <i r="1">
      <x v="2"/>
    </i>
    <i r="2">
      <x/>
    </i>
    <i r="2">
      <x v="37"/>
    </i>
    <i r="2">
      <x v="46"/>
    </i>
    <i r="2">
      <x v="58"/>
    </i>
    <i r="2">
      <x v="59"/>
    </i>
    <i r="2">
      <x v="82"/>
    </i>
    <i r="1">
      <x v="3"/>
    </i>
    <i r="2">
      <x/>
    </i>
    <i r="2">
      <x v="37"/>
    </i>
    <i r="2">
      <x v="46"/>
    </i>
    <i r="2">
      <x v="58"/>
    </i>
    <i r="2">
      <x v="59"/>
    </i>
    <i r="2">
      <x v="8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3" xr16:uid="{C2DE005B-C009-C44B-B8CF-E9B50785DCA5}" autoFormatId="16" applyNumberFormats="0" applyBorderFormats="0" applyFontFormats="0" applyPatternFormats="0" applyAlignmentFormats="0" applyWidthHeightFormats="0">
  <queryTableRefresh nextId="2">
    <queryTableFields count="1">
      <queryTableField id="1" name="Refresh_timestamp"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609D081-6E9F-2F48-8108-B774D0ADF15C}" autoFormatId="16" applyNumberFormats="0" applyBorderFormats="0" applyFontFormats="0" applyPatternFormats="0" applyAlignmentFormats="0" applyWidthHeightFormats="0">
  <queryTableRefresh nextId="27">
    <queryTableFields count="16">
      <queryTableField id="1" name="parameter_name" tableColumnId="1"/>
      <queryTableField id="2" name="value" tableColumnId="2"/>
      <queryTableField id="3" name="ci_lower" tableColumnId="3"/>
      <queryTableField id="4" name="ci_upper" tableColumnId="4"/>
      <queryTableField id="5" name="n" tableColumnId="5"/>
      <queryTableField id="6" name="kind" tableColumnId="6"/>
      <queryTableField id="7" name="category" tableColumnId="7"/>
      <queryTableField id="8" name="description" tableColumnId="8"/>
      <queryTableField id="9" name="Note" tableColumnId="9"/>
      <queryTableField id="19" name="source" tableColumnId="19"/>
      <queryTableField id="10" name="source_sheet" tableColumnId="10"/>
      <queryTableField id="11" name="index" tableColumnId="11"/>
      <queryTableField id="12" name="county" tableColumnId="12"/>
      <queryTableField id="13" name="facility_level" tableColumnId="13"/>
      <queryTableField id="15" name="unit" tableColumnId="15"/>
      <queryTableField id="18" name="duration_year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64BF7A7-D237-E54D-A74C-D6CF2DC16061}" name="Refresh_timestamp" displayName="Refresh_timestamp" ref="A1:A2" tableType="queryTable" totalsRowShown="0">
  <autoFilter ref="A1:A2" xr:uid="{764BF7A7-D237-E54D-A74C-D6CF2DC16061}"/>
  <tableColumns count="1">
    <tableColumn id="1" xr3:uid="{CA1D242C-D796-394A-B895-16549B288C72}" uniqueName="1" name="Refresh_timestamp" queryTableFieldId="1" dataDxfId="17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8B6769-0C5C-864C-9311-EA9D85287C65}" name="Table2" displayName="Table2" ref="B12:G32" totalsRowShown="0">
  <autoFilter ref="B12:G32" xr:uid="{F98B6769-0C5C-864C-9311-EA9D85287C65}"/>
  <tableColumns count="6">
    <tableColumn id="1" xr3:uid="{9CD08F83-B9A8-1E4C-AF0B-E5A29AA712A6}" name="Task" dataDxfId="170"/>
    <tableColumn id="4" xr3:uid="{AD1D21A5-C5F4-3D48-A69F-B49DCC042B04}" name="County" dataDxfId="169"/>
    <tableColumn id="2" xr3:uid="{EAE0BEC3-A37F-104A-B9CF-44478D7D2541}" name="Data Source"/>
    <tableColumn id="5" xr3:uid="{EE86A27E-C3A0-EC42-998F-7FCFBF6E69C3}" name="# Parameters"/>
    <tableColumn id="3" xr3:uid="{6F75D4BE-DCBE-DA4B-A476-58B8F5302CAE}" name="Assignment" dataDxfId="168"/>
    <tableColumn id="6" xr3:uid="{ADD68DBE-27C6-9148-89A0-9AB77CC7C2D1}" name="Note"/>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5BE699-31C9-2343-B279-490BBE51A873}" name="Table17" displayName="Table17" ref="B7:D9" totalsRowShown="0" headerRowBorderDxfId="166" tableBorderDxfId="167">
  <autoFilter ref="B7:D9" xr:uid="{275BE699-31C9-2343-B279-490BBE51A873}"/>
  <tableColumns count="3">
    <tableColumn id="1" xr3:uid="{C5480D11-9EA2-D443-BBA8-57797A0ABFFD}" name="Review and determine which parameters are available" dataDxfId="165"/>
    <tableColumn id="2" xr3:uid="{FE0F50BE-56C7-A64F-8B9C-D049A3E9C470}" name="Assignment" dataDxfId="164"/>
    <tableColumn id="3" xr3:uid="{9F8ECC3A-19F3-AD40-A695-D62ECF0C078B}" name="Notes" dataDxfId="163"/>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6012BD5-750F-9743-960E-53CE9D53BC73}" name="Append" displayName="Append" ref="A2:P760" tableType="queryTable" totalsRowShown="0">
  <autoFilter ref="A2:P760" xr:uid="{06012BD5-750F-9743-960E-53CE9D53BC73}"/>
  <tableColumns count="16">
    <tableColumn id="1" xr3:uid="{085AA0E1-0EDE-BF46-B817-7A0337D7F6CA}" uniqueName="1" name="parameter_name" queryTableFieldId="1"/>
    <tableColumn id="2" xr3:uid="{9F590960-8CE6-2D4F-938E-C53B75CA828F}" uniqueName="2" name="value" queryTableFieldId="2"/>
    <tableColumn id="3" xr3:uid="{55D33EFB-58E2-6C43-A340-66E89447B135}" uniqueName="3" name="ci_lower" queryTableFieldId="3"/>
    <tableColumn id="4" xr3:uid="{FA3CD559-F7A3-4C4A-BE28-4CFBFA4A286F}" uniqueName="4" name="ci_upper" queryTableFieldId="4"/>
    <tableColumn id="5" xr3:uid="{FE9DCBD5-5223-8041-A09D-9A60DB7F242B}" uniqueName="5" name="n" queryTableFieldId="5"/>
    <tableColumn id="6" xr3:uid="{1EB4560E-F252-A943-B035-E8581082CAE9}" uniqueName="6" name="kind" queryTableFieldId="6"/>
    <tableColumn id="7" xr3:uid="{F2104FD9-6281-224A-9221-5FB596B9EB22}" uniqueName="7" name="category" queryTableFieldId="7"/>
    <tableColumn id="8" xr3:uid="{AF890D3A-30B2-B448-9065-F4FC92266AA8}" uniqueName="8" name="description" queryTableFieldId="8"/>
    <tableColumn id="9" xr3:uid="{60D232C0-4E09-F54C-857B-D106732FFB71}" uniqueName="9" name="note" queryTableFieldId="9" dataDxfId="162"/>
    <tableColumn id="19" xr3:uid="{965F6B5D-20DA-4E4E-B0B7-3FD227789470}" uniqueName="19" name="source" queryTableFieldId="19" dataDxfId="161"/>
    <tableColumn id="10" xr3:uid="{351B752C-B760-8A4B-A312-7E9E2F1B03A1}" uniqueName="10" name="source_sheet" queryTableFieldId="10"/>
    <tableColumn id="11" xr3:uid="{C1B0A7DF-ECA3-C84B-B6F3-3C64402352F7}" uniqueName="11" name="index" queryTableFieldId="11"/>
    <tableColumn id="12" xr3:uid="{8C0659E1-7729-DF4F-AE8C-EBED0F064631}" uniqueName="12" name="county" queryTableFieldId="12"/>
    <tableColumn id="13" xr3:uid="{75A187B7-2929-2D42-A9E6-291EA1269757}" uniqueName="13" name="facility_level" queryTableFieldId="13"/>
    <tableColumn id="15" xr3:uid="{8E1526D5-2F49-2445-B960-14F4C9E48AC7}" uniqueName="15" name="unit" queryTableFieldId="15"/>
    <tableColumn id="18" xr3:uid="{E2F9F51A-EF13-7C4C-BB55-795580D0F389}" uniqueName="18" name="duration_years" queryTableFieldId="18"/>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4D8A1FD-9887-4842-9AAB-89934DAD1D28}" name="Table19" displayName="Table19" ref="A1:Q454" totalsRowShown="0" headerRowDxfId="160" tableBorderDxfId="159">
  <autoFilter ref="A1:Q454" xr:uid="{D4D8A1FD-9887-4842-9AAB-89934DAD1D28}">
    <filterColumn colId="9">
      <filters>
        <filter val="county_supply"/>
      </filters>
    </filterColumn>
  </autoFilter>
  <tableColumns count="17">
    <tableColumn id="1" xr3:uid="{4CD319EF-42A2-4C40-A068-B7DE71154173}" name="parameter_name" dataDxfId="158"/>
    <tableColumn id="2" xr3:uid="{A7E255F2-9A18-944B-A2A4-FFCE9BFFBD13}" name="value" dataDxfId="157"/>
    <tableColumn id="3" xr3:uid="{EAE0493F-9E16-5745-A4FF-FAFFBFFF2B4B}" name="ci_lower" dataDxfId="156"/>
    <tableColumn id="4" xr3:uid="{EF1D7278-D7B3-9B42-AF54-0F7214AC3619}" name="ci_upper" dataDxfId="155"/>
    <tableColumn id="5" xr3:uid="{A7936734-9FD0-984F-971B-5DA792EA6EAA}" name="n" dataDxfId="154"/>
    <tableColumn id="6" xr3:uid="{4897E993-EE78-1E49-8D57-16546054CA70}" name="kind" dataDxfId="153"/>
    <tableColumn id="7" xr3:uid="{679DE693-0408-0E4B-A817-28AD185E8396}" name="description" dataDxfId="152"/>
    <tableColumn id="8" xr3:uid="{17530A89-5BBC-F043-8518-454303E405A4}" name="note" dataDxfId="151"/>
    <tableColumn id="9" xr3:uid="{62F8808E-DFD4-8546-8A42-205D228E515D}" name="source" dataDxfId="150"/>
    <tableColumn id="10" xr3:uid="{1E26B670-BCD0-D34A-85D6-BD476D8CAB76}" name="source_sheet" dataDxfId="149"/>
    <tableColumn id="11" xr3:uid="{EDD7A4A6-AD0C-D548-A8AA-B446CAD6491F}" name="index" dataDxfId="148"/>
    <tableColumn id="12" xr3:uid="{73DBB488-F07E-1240-9411-9D99617E49F9}" name="county" dataDxfId="147"/>
    <tableColumn id="13" xr3:uid="{19F5EE9F-ED5E-AD4D-99FD-00C2D73108D9}" name="facility_level" dataDxfId="146"/>
    <tableColumn id="14" xr3:uid="{A74F0806-A497-FC40-A289-5E545563289A}" name="DHS Flag"/>
    <tableColumn id="15" xr3:uid="{E42BF926-C623-A242-B8A8-552A24A60435}" name="DHS Value"/>
    <tableColumn id="16" xr3:uid="{DC05B9ED-AD0D-FB4C-A14D-C208315C2654}" name="DHS Notes" dataDxfId="145"/>
    <tableColumn id="17" xr3:uid="{A2D8F7CF-6513-1240-90EB-6011EDC6F9D6}" name="next steps notes" dataDxfId="144"/>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D39ACE6-E0FB-C44A-BF7F-3ED88355B4FD}" name="Table18" displayName="Table18" ref="A4:D64" totalsRowShown="0" headerRowDxfId="143" dataDxfId="142">
  <autoFilter ref="A4:D64" xr:uid="{AD39ACE6-E0FB-C44A-BF7F-3ED88355B4FD}"/>
  <tableColumns count="4">
    <tableColumn id="1" xr3:uid="{9F263967-3377-D64F-8D9B-8BAEE64A69D4}" name="parameter_name"/>
    <tableColumn id="2" xr3:uid="{F22FE956-3214-B649-B519-F7B014AC1BCF}" name="description"/>
    <tableColumn id="3" xr3:uid="{9CDB9227-C979-7640-B532-47FE455FB43D}" name="source" dataDxfId="141"/>
    <tableColumn id="4" xr3:uid="{79CB0DBC-F944-0446-9D43-E5389F404438}" name="county_availability (Makueni, Kisii, Mombasa)" dataDxfId="140"/>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26A4C42-F226-2346-B515-9B89213C7CC8}" name="Table30" displayName="Table30" ref="A1:D15" totalsRowShown="0" headerRowDxfId="139" dataDxfId="138">
  <autoFilter ref="A1:D15" xr:uid="{026A4C42-F226-2346-B515-9B89213C7CC8}"/>
  <tableColumns count="4">
    <tableColumn id="1" xr3:uid="{F5F450DE-834F-D54D-954F-824A6D626BD1}" name="Sheet #" dataDxfId="137"/>
    <tableColumn id="2" xr3:uid="{FDFDAD23-8E23-2347-B30E-B584E8B47275}" name="Sheet Name" dataDxfId="136"/>
    <tableColumn id="3" xr3:uid="{4F16C49A-8781-6A4C-A564-4D5A60DBE23E}" name="Type" dataDxfId="135"/>
    <tableColumn id="4" xr3:uid="{BCCA8A8E-C5B9-F94C-9692-7C30A034D7E7}" name="Description" dataDxfId="134"/>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473BAA-56D3-F74F-B4BE-A84DB5306AE7}" name="Table1" displayName="Table1" ref="A1:J42" totalsRowShown="0" headerRowDxfId="133" dataDxfId="132">
  <autoFilter ref="A1:J42" xr:uid="{25473BAA-56D3-F74F-B4BE-A84DB5306AE7}"/>
  <tableColumns count="10">
    <tableColumn id="1" xr3:uid="{58B1E1A2-D51A-124B-8B31-F95D37EB7C1A}" name="parameter_name" dataDxfId="131"/>
    <tableColumn id="2" xr3:uid="{3C4154EB-1A9B-1642-B49C-2B1FD18E919D}" name="value" dataDxfId="130"/>
    <tableColumn id="3" xr3:uid="{B99E6B48-E448-024E-94B2-86DC931085AC}" name="ci_lower" dataDxfId="129"/>
    <tableColumn id="4" xr3:uid="{4854C67B-0721-4447-A77F-8A403AA39B77}" name="ci_upper" dataDxfId="128"/>
    <tableColumn id="5" xr3:uid="{F666E1B9-8058-F047-B774-4D3503C34EAE}" name="n" dataDxfId="127"/>
    <tableColumn id="6" xr3:uid="{92B6F81B-5560-1F40-A9B9-6D04FF64C4F2}" name="kind" dataDxfId="126"/>
    <tableColumn id="7" xr3:uid="{55512EE5-D23A-634F-BF24-23A422C79989}" name="category" dataDxfId="125"/>
    <tableColumn id="8" xr3:uid="{FBCCF388-3D7B-A64E-B587-629A344924E3}" name="description" dataDxfId="124"/>
    <tableColumn id="9" xr3:uid="{DCFE0F5C-C17A-7B4C-8CCE-1B3779448F92}" name="note" dataDxfId="123"/>
    <tableColumn id="10" xr3:uid="{04B0387C-804B-1649-8AD9-91D223060EEB}" name="source" dataDxfId="122"/>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DB26F2-03BD-C443-B390-41102ADED4E5}" name="Table3" displayName="Table3" ref="A1:J19" totalsRowShown="0" headerRowDxfId="121" dataDxfId="120">
  <autoFilter ref="A1:J19" xr:uid="{D2DB26F2-03BD-C443-B390-41102ADED4E5}"/>
  <tableColumns count="10">
    <tableColumn id="1" xr3:uid="{9AE6C678-9695-7246-B4FD-852D22BE623A}" name="parameter_name" dataDxfId="119"/>
    <tableColumn id="2" xr3:uid="{ED6CA6A1-4467-D44D-98CF-325D51747C95}" name="value" dataDxfId="118"/>
    <tableColumn id="3" xr3:uid="{7409841E-F0CC-3341-BD98-1D70D500754A}" name="ci_lower" dataDxfId="117"/>
    <tableColumn id="4" xr3:uid="{F0344708-F49D-4740-8FC2-05C3419E2B21}" name="ci_upper" dataDxfId="116"/>
    <tableColumn id="5" xr3:uid="{2EC81984-1FBC-3B46-B994-1767F36F693A}" name="n" dataDxfId="115"/>
    <tableColumn id="6" xr3:uid="{369F0CBA-8C62-C84A-AAE6-8D3F65EDEA67}" name="kind" dataDxfId="114"/>
    <tableColumn id="7" xr3:uid="{91F81118-E74F-6E49-9972-B38D32D77763}" name="category" dataDxfId="113"/>
    <tableColumn id="8" xr3:uid="{EFFB5801-B75C-A143-AFA3-B086146BF43A}" name="description" dataDxfId="112"/>
    <tableColumn id="9" xr3:uid="{EF7612E9-BFC5-954C-B7D0-211E4998C0A8}" name="note" dataDxfId="111"/>
    <tableColumn id="10" xr3:uid="{7C62B172-EB00-254A-BA4A-6E809FE9F85B}" name="source" dataDxfId="110"/>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330C45-5292-164D-A65C-39B16620F079}" name="Table4" displayName="Table4" ref="A1:G34" totalsRowShown="0" headerRowDxfId="109" dataDxfId="108">
  <autoFilter ref="A1:G34" xr:uid="{02330C45-5292-164D-A65C-39B16620F079}"/>
  <tableColumns count="7">
    <tableColumn id="1" xr3:uid="{BC45BF3D-DBC5-0E4E-9915-BEC60EFFD32F}" name="parameter_name" dataDxfId="107"/>
    <tableColumn id="2" xr3:uid="{EE061F8B-03C6-2B41-B713-1E76599B392F}" name="value" dataDxfId="106"/>
    <tableColumn id="3" xr3:uid="{157FF7E3-5EF0-6143-A4D1-7AD9027DA24B}" name="unit" dataDxfId="105"/>
    <tableColumn id="4" xr3:uid="{B9F1D937-D1F3-D942-8940-E84A46A6A607}" name="category" dataDxfId="104"/>
    <tableColumn id="5" xr3:uid="{88D091D4-01A0-1546-8D2F-994932F85093}" name="description" dataDxfId="103"/>
    <tableColumn id="6" xr3:uid="{D438E964-B758-B24A-8D3C-1810706F9B4A}" name="note" dataDxfId="102"/>
    <tableColumn id="7" xr3:uid="{4834AF59-9342-914E-A894-9D5EB2B77FCF}" name="source" dataDxfId="101"/>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F193B5-D445-7645-8A3C-6A5AD8F291EE}" name="Table5" displayName="Table5" ref="A1:H27" totalsRowShown="0" headerRowDxfId="100" dataDxfId="99">
  <autoFilter ref="A1:H27" xr:uid="{54F193B5-D445-7645-8A3C-6A5AD8F291EE}"/>
  <tableColumns count="8">
    <tableColumn id="1" xr3:uid="{2BC3F662-3E36-C149-A6EF-5A58A05AD18D}" name="cost_item" dataDxfId="98"/>
    <tableColumn id="2" xr3:uid="{4179754B-D572-F447-BAA2-AE29F0D82D8F}" name="value" dataDxfId="97"/>
    <tableColumn id="3" xr3:uid="{92B16BAF-1E06-A542-A5C1-8E78AF297270}" name="currency" dataDxfId="96"/>
    <tableColumn id="4" xr3:uid="{4E8E925E-D0DD-1B47-AD53-906CFA4CB91A}" name="unit" dataDxfId="95"/>
    <tableColumn id="5" xr3:uid="{A3FCB261-8BF8-E747-983E-4642778852BF}" name="category" dataDxfId="94"/>
    <tableColumn id="6" xr3:uid="{A7A35A19-71E0-294A-8821-E93C0B9CA76C}" name="description" dataDxfId="93"/>
    <tableColumn id="7" xr3:uid="{AFFA8873-36A5-1043-9DA5-BC2CE080C832}" name="note" dataDxfId="92"/>
    <tableColumn id="8" xr3:uid="{31059E92-351C-174A-864C-22A8A4F5E6C5}" name="source" dataDxfId="91"/>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2A7750-7F7D-E340-A436-6D79ADC739EE}" name="Table6" displayName="Table6" ref="A1:H12" totalsRowShown="0" headerRowDxfId="90" dataDxfId="89">
  <autoFilter ref="A1:H12" xr:uid="{C82A7750-7F7D-E340-A436-6D79ADC739EE}"/>
  <tableColumns count="8">
    <tableColumn id="1" xr3:uid="{DCEE54DB-E729-F740-B1EA-4696A7438489}" name="condition" dataDxfId="88"/>
    <tableColumn id="2" xr3:uid="{86180943-6F21-3B42-B500-99EE6A13F683}" name="mean" dataDxfId="87"/>
    <tableColumn id="3" xr3:uid="{FF23BF49-B176-0440-8993-D6FC3743A0FD}" name="ci_lower" dataDxfId="86"/>
    <tableColumn id="4" xr3:uid="{E4873C84-9557-AE4B-BF37-BB3388F67EE8}" name="ci_upper" dataDxfId="85"/>
    <tableColumn id="5" xr3:uid="{FF0545B0-48D3-8B46-BC9F-3A1FC91BF93D}" name="duration_years" dataDxfId="84"/>
    <tableColumn id="7" xr3:uid="{E91870FA-D4A5-A04E-8EC1-8612D2A580A1}" name="description" dataDxfId="83"/>
    <tableColumn id="8" xr3:uid="{74AFE33C-8E5D-844B-A959-7E369F11C968}" name="note" dataDxfId="82"/>
    <tableColumn id="9" xr3:uid="{E7BEDF8F-120B-8E46-AF2D-684CCA33B9B6}" name="source" dataDxfId="81"/>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67C4A4E-9E08-6444-AFC7-8CF510E258CC}" name="Table7" displayName="Table7" ref="A1:F103" totalsRowShown="0" headerRowDxfId="80" dataDxfId="79">
  <autoFilter ref="A1:F103" xr:uid="{367C4A4E-9E08-6444-AFC7-8CF510E258CC}"/>
  <tableColumns count="6">
    <tableColumn id="1" xr3:uid="{9E401D6C-3215-8145-8ADE-9841A965611D}" name="parameter_name" dataDxfId="78"/>
    <tableColumn id="2" xr3:uid="{A1B376B3-7C8C-A54F-B939-22CAEA527208}" name="index" dataDxfId="77"/>
    <tableColumn id="3" xr3:uid="{A8CDEA9D-5A7B-4340-9CA4-4F41253DC647}" name="value" dataDxfId="76"/>
    <tableColumn id="4" xr3:uid="{6C675008-7669-224A-806B-1DC7B130CE30}" name="description" dataDxfId="75"/>
    <tableColumn id="5" xr3:uid="{8628A6D5-FE41-534A-9914-70B50419332B}" name="note"/>
    <tableColumn id="6" xr3:uid="{0B8E4350-2778-5C4A-B5D7-97E1BCD4B3A0}" name="source" dataDxfId="74"/>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ED0BAC-CE3B-1C4B-ADDD-7A80500425AC}" name="Table8" displayName="Table8" ref="A1:H5" totalsRowShown="0" headerRowDxfId="73" dataDxfId="72">
  <autoFilter ref="A1:H5" xr:uid="{85ED0BAC-CE3B-1C4B-ADDD-7A80500425AC}"/>
  <tableColumns count="8">
    <tableColumn id="1" xr3:uid="{D9A33602-2C29-8D4F-A19B-F21F3F2A49C0}" name="county" dataDxfId="71"/>
    <tableColumn id="2" xr3:uid="{42FE8F61-C272-D440-84DE-169769B379B0}" name="enabled" dataDxfId="70"/>
    <tableColumn id="3" xr3:uid="{EA9ACFC5-55A6-D14D-9739-99F8D479A080}" name="population" dataDxfId="69"/>
    <tableColumn id="4" xr3:uid="{51875BEA-917E-214C-ABCF-324AB180CB8D}" name="region" dataDxfId="68"/>
    <tableColumn id="5" xr3:uid="{44623582-156C-7C48-A87C-5BFBC138C384}" name="calibrated" dataDxfId="67"/>
    <tableColumn id="6" xr3:uid="{6969F41F-98F8-4F4D-A064-A84100852883}" name="last_calibrated" dataDxfId="66"/>
    <tableColumn id="7" xr3:uid="{E875B816-FA10-7440-B3B5-C1D678F20D09}" name="note" dataDxfId="65"/>
    <tableColumn id="8" xr3:uid="{8FC53F41-4FF5-DE41-9D48-4FFE6431FECA}" name="source" dataDxfId="64"/>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61915E6-AF2E-3A4C-B9E4-652D7B9EE032}" name="Table9" displayName="Table9" ref="A1:J37" totalsRowShown="0" headerRowDxfId="62" dataDxfId="61">
  <autoFilter ref="A1:J37" xr:uid="{D61915E6-AF2E-3A4C-B9E4-652D7B9EE032}"/>
  <tableColumns count="10">
    <tableColumn id="1" xr3:uid="{ADE7C522-D704-7042-8453-AA1E0621DEBD}" name="parameter_name" dataDxfId="60"/>
    <tableColumn id="2" xr3:uid="{8028E52C-D605-F44A-A281-4128B38FE466}" name="county" dataDxfId="59"/>
    <tableColumn id="3" xr3:uid="{DA7C74D3-1799-2B48-80AC-F68DD31182E6}" name="value" dataDxfId="58"/>
    <tableColumn id="4" xr3:uid="{7C6A59BC-BC6C-D541-9C09-18802353DCD0}" name="ci_lower" dataDxfId="57"/>
    <tableColumn id="5" xr3:uid="{C6F2954A-8C53-6840-B9B6-BC97A266B7C4}" name="ci_upper" dataDxfId="56"/>
    <tableColumn id="6" xr3:uid="{328A4DFE-04CA-2341-B52D-800F4E98CDFC}" name="n" dataDxfId="55"/>
    <tableColumn id="7" xr3:uid="{450D81C4-DD73-E946-A431-C5C65BABD287}" name="kind" dataDxfId="54"/>
    <tableColumn id="8" xr3:uid="{13A740F5-CA2C-F54E-B0EE-994E8003CB5B}" name="description" dataDxfId="53"/>
    <tableColumn id="9" xr3:uid="{E4C9818B-D9F1-614C-84B1-EDF05D72D34A}" name="note" dataDxfId="52"/>
    <tableColumn id="10" xr3:uid="{5A6FDA38-761D-5044-A9C2-150094385AA2}" name="source" dataDxfId="51"/>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30E903-BC03-A242-8F9A-1F789E707282}" name="Table10" displayName="Table10" ref="A1:F97" totalsRowShown="0" tableBorderDxfId="49">
  <autoFilter ref="A1:F97" xr:uid="{E930E903-BC03-A242-8F9A-1F789E707282}"/>
  <tableColumns count="6">
    <tableColumn id="3" xr3:uid="{403C308B-4D3C-2F45-83F8-2E742F866692}" name="parameter_name"/>
    <tableColumn id="1" xr3:uid="{F3AB28F3-86E9-024E-B5F7-8CC53A3DB7A6}" name="county" dataDxfId="48"/>
    <tableColumn id="4" xr3:uid="{CDF0CB1C-C49F-654C-BC70-DC8892596E4B}" name="value" dataDxfId="47"/>
    <tableColumn id="2" xr3:uid="{137EB7A3-0557-8E49-9AFA-E4E97F30DBAA}" name="facility_level" dataDxfId="46"/>
    <tableColumn id="5" xr3:uid="{8AA1E123-2B88-4344-A517-BF0F9209C009}" name="note" dataDxfId="45"/>
    <tableColumn id="6" xr3:uid="{45E433BF-258A-A445-9CE6-C37C800CD806}" name="source" dataDxfId="44" dataCellStyle="Hyperlink"/>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25CE367-E579-6B4E-8354-B719DDF4ADE7}" name="Table12" displayName="Table12" ref="A1:G189" totalsRowShown="0" headerRowDxfId="42" dataDxfId="41">
  <autoFilter ref="A1:G189" xr:uid="{525CE367-E579-6B4E-8354-B719DDF4ADE7}"/>
  <tableColumns count="7">
    <tableColumn id="1" xr3:uid="{7810F222-6454-564F-A85A-D9F60F3DD336}" name="parameter_name" dataDxfId="40"/>
    <tableColumn id="2" xr3:uid="{2C702F17-E88C-DC4B-B051-DFDEFA849984}" name="county" dataDxfId="39"/>
    <tableColumn id="3" xr3:uid="{58202C69-A577-264B-BF1E-5F2871648C2E}" name="value" dataDxfId="38"/>
    <tableColumn id="4" xr3:uid="{10485E6D-62BF-F649-A1FB-128A5DC800CA}" name="index" dataDxfId="37"/>
    <tableColumn id="5" xr3:uid="{9F3A8B4D-D380-C445-AD37-E71B5707CBCA}" name="description" dataDxfId="36"/>
    <tableColumn id="6" xr3:uid="{8F34599C-6008-0D49-B1CA-06BE0C8EA3A6}" name="note"/>
    <tableColumn id="7" xr3:uid="{0E4B027F-61D9-1741-A659-2BF44B05445B}" name="source" dataDxfId="35"/>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E431914-7709-3644-9672-63F04684E528}" name="Table13" displayName="Table13" ref="A1:L100" totalsRowShown="0" headerRowDxfId="32">
  <autoFilter ref="A1:L100" xr:uid="{9E431914-7709-3644-9672-63F04684E528}"/>
  <tableColumns count="12">
    <tableColumn id="1" xr3:uid="{4704DC30-DA9D-E44D-AA86-E920CB090EBF}" name="parameter_name" dataDxfId="31"/>
    <tableColumn id="2" xr3:uid="{25C91780-7DB0-ED40-95DD-5A3702FA4A52}" name="county" dataDxfId="30"/>
    <tableColumn id="3" xr3:uid="{19711580-5726-8C4A-B436-F8E261B65F51}" name="index" dataDxfId="29"/>
    <tableColumn id="4" xr3:uid="{5883F886-6FEB-F04D-9035-484767078A05}" name="value" dataDxfId="28"/>
    <tableColumn id="5" xr3:uid="{99F21F9C-74C1-1E43-98A0-8B9EA2071BC7}" name="ci_lower"/>
    <tableColumn id="6" xr3:uid="{33095D04-79D6-2C44-AA14-BFF0E39ABD1F}" name="ci_upper"/>
    <tableColumn id="7" xr3:uid="{BF8E6F89-E1EB-DD4A-897C-47714FA2FD6B}" name="n"/>
    <tableColumn id="8" xr3:uid="{6CF5E9B0-607F-864D-8CA5-A7D45371F4D1}" name="kind"/>
    <tableColumn id="9" xr3:uid="{4FD4653D-966F-EA44-9327-558AAB325E8F}" name="facility_level" dataDxfId="27"/>
    <tableColumn id="10" xr3:uid="{2861E3CF-FED0-F84F-9811-1FE0B9FBB783}" name="description" dataDxfId="26"/>
    <tableColumn id="11" xr3:uid="{4CA937FD-B408-E643-BDEA-8BE16B62E2FB}" name="note"/>
    <tableColumn id="12" xr3:uid="{23B71D1D-7FD7-B340-A296-C4173CA8EE8B}" name="source"/>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08399C2-FCC7-E740-8106-F4CFCF73B273}" name="Table14" displayName="Table14" ref="A1:F49" totalsRowShown="0" headerRowDxfId="24" dataDxfId="23">
  <autoFilter ref="A1:F49" xr:uid="{808399C2-FCC7-E740-8106-F4CFCF73B273}"/>
  <tableColumns count="6">
    <tableColumn id="1" xr3:uid="{698DD00E-C9A6-C14E-84F3-B990644F03B5}" name="target_name" dataDxfId="22"/>
    <tableColumn id="2" xr3:uid="{1458693C-17A5-CA47-ACFB-C984434A9553}" name="county" dataDxfId="21"/>
    <tableColumn id="3" xr3:uid="{232463BA-08C0-0547-8D7C-F1C9DB8A3892}" name="value" dataDxfId="20"/>
    <tableColumn id="4" xr3:uid="{B4142077-212E-044D-A7FC-6E62C42297C2}" name="description" dataDxfId="19"/>
    <tableColumn id="5" xr3:uid="{F08800DC-AD0A-EA4E-9E9A-A719A8D930ED}" name="note" dataDxfId="18"/>
    <tableColumn id="6" xr3:uid="{A3796426-7945-4B4D-9016-B1F893A7EDC3}" name="source" dataDxfId="17"/>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7148FD3-FD1C-604B-A2C4-B2F99498001A}" name="Table15" displayName="Table15" ref="A1:G38" totalsRowShown="0" headerRowDxfId="16" dataDxfId="15">
  <autoFilter ref="A1:G38" xr:uid="{D7148FD3-FD1C-604B-A2C4-B2F99498001A}"/>
  <tableColumns count="7">
    <tableColumn id="1" xr3:uid="{229D41E9-A8D6-6B45-85DE-4ADDF45E2CDF}" name="parameter_name" dataDxfId="14"/>
    <tableColumn id="7" xr3:uid="{BA9D414D-3E3F-1D43-8D2F-6349D5AB3762}" name="county" dataDxfId="13"/>
    <tableColumn id="2" xr3:uid="{E7B0FD93-DC52-6040-A5D6-89373471251F}" name="default_value" dataDxfId="12"/>
    <tableColumn id="3" xr3:uid="{0F35F63C-5996-EE4B-B47F-EA9F897D281E}" name="type" dataDxfId="11"/>
    <tableColumn id="4" xr3:uid="{7E5D9EC9-7FA2-2E44-B3F7-F06B4256019A}" name="description" dataDxfId="10"/>
    <tableColumn id="5" xr3:uid="{ED92DA08-8172-E646-A608-225B7896025C}" name="note" dataDxfId="9"/>
    <tableColumn id="6" xr3:uid="{77B71767-92F6-A542-98AE-2EDBD0FB7368}" name="source" dataDxfId="8"/>
  </tableColumns>
  <tableStyleInfo name="Table Style 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40E36D-7C0D-E54B-98D7-E52E4A70ADE5}" name="Table16" displayName="Table16" ref="A1:F24" totalsRowShown="0" headerRowDxfId="7" dataDxfId="6">
  <autoFilter ref="A1:F24" xr:uid="{8B40E36D-7C0D-E54B-98D7-E52E4A70ADE5}"/>
  <tableColumns count="6">
    <tableColumn id="1" xr3:uid="{58BF627C-3C0C-2548-B8E1-42D8F82EE0BE}" name="table_name" dataDxfId="5"/>
    <tableColumn id="2" xr3:uid="{59ABBC87-C7DB-D34C-83F2-211F20FD762E}" name="key" dataDxfId="4"/>
    <tableColumn id="3" xr3:uid="{C83FB127-29D5-3B4B-906B-ECC96BBA8B94}" name="value" dataDxfId="3"/>
    <tableColumn id="4" xr3:uid="{628A1D2D-D4E1-C94C-BB17-03932C3B5F35}" name="description" dataDxfId="2"/>
    <tableColumn id="5" xr3:uid="{5405D374-97F6-7845-BB24-55D9FB1723C4}" name="note" dataDxfId="1"/>
    <tableColumn id="6" xr3:uid="{92144E60-3813-794D-B2C2-558A16EBCD67}" name="source"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3" Type="http://schemas.openxmlformats.org/officeDocument/2006/relationships/hyperlink" Target="https://pubmed.ncbi.nlm.nih.gov/36178921/" TargetMode="External"/><Relationship Id="rId18" Type="http://schemas.openxmlformats.org/officeDocument/2006/relationships/hyperlink" Target="https://www.jnhrc.com.np/index.php/jnhrc/article/view/2093/928" TargetMode="External"/><Relationship Id="rId26" Type="http://schemas.openxmlformats.org/officeDocument/2006/relationships/hyperlink" Target="https://pmc.ncbi.nlm.nih.gov/articles/PMC9792651/" TargetMode="External"/><Relationship Id="rId21" Type="http://schemas.openxmlformats.org/officeDocument/2006/relationships/hyperlink" Target="http://erepository.uonbi.ac.ke/handle/11295/25728" TargetMode="External"/><Relationship Id="rId34" Type="http://schemas.openxmlformats.org/officeDocument/2006/relationships/hyperlink" Target="https://www.scirp.org/journal/paperinformation?paperid=49683" TargetMode="External"/><Relationship Id="rId7" Type="http://schemas.openxmlformats.org/officeDocument/2006/relationships/hyperlink" Target="https://pmc.ncbi.nlm.nih.gov/articles/PMC1941614/" TargetMode="External"/><Relationship Id="rId12" Type="http://schemas.openxmlformats.org/officeDocument/2006/relationships/hyperlink" Target="https://obgyn.onlinelibrary.wiley.com/doi/10.1111/j.1600-0412.2012.01358.x" TargetMode="External"/><Relationship Id="rId17" Type="http://schemas.openxmlformats.org/officeDocument/2006/relationships/hyperlink" Target="https://www.jnhrc.com.np/index.php/jnhrc/article/view/2093/928" TargetMode="External"/><Relationship Id="rId25" Type="http://schemas.openxmlformats.org/officeDocument/2006/relationships/hyperlink" Target="https://pmc.ncbi.nlm.nih.gov/articles/PMC7391531/?" TargetMode="External"/><Relationship Id="rId33" Type="http://schemas.openxmlformats.org/officeDocument/2006/relationships/hyperlink" Target="https://pmc.ncbi.nlm.nih.gov/articles/PMC9341104/" TargetMode="External"/><Relationship Id="rId38" Type="http://schemas.openxmlformats.org/officeDocument/2006/relationships/table" Target="../tables/table8.xml"/><Relationship Id="rId2" Type="http://schemas.openxmlformats.org/officeDocument/2006/relationships/hyperlink" Target="https://bmcpediatr.biomedcentral.com/articles/10.1186/s12887-022-03591-w" TargetMode="External"/><Relationship Id="rId16" Type="http://schemas.openxmlformats.org/officeDocument/2006/relationships/hyperlink" Target="http://erepository.uonbi.ac.ke/handle/11295/25728" TargetMode="External"/><Relationship Id="rId20" Type="http://schemas.openxmlformats.org/officeDocument/2006/relationships/hyperlink" Target="https://pmc.ncbi.nlm.nih.gov/articles/PMC6128623/" TargetMode="External"/><Relationship Id="rId29" Type="http://schemas.openxmlformats.org/officeDocument/2006/relationships/hyperlink" Target="https://pmc.ncbi.nlm.nih.gov/articles/PMC9554427/" TargetMode="External"/><Relationship Id="rId1" Type="http://schemas.openxmlformats.org/officeDocument/2006/relationships/hyperlink" Target="https://journals.plos.org/plosone/article/file?id=10.1371/journal.pone.0233845&amp;type=printable" TargetMode="External"/><Relationship Id="rId6" Type="http://schemas.openxmlformats.org/officeDocument/2006/relationships/hyperlink" Target="https://pmc.ncbi.nlm.nih.gov/articles/PMC1941614/" TargetMode="External"/><Relationship Id="rId11" Type="http://schemas.openxmlformats.org/officeDocument/2006/relationships/hyperlink" Target="https://www.ncbi.nlm.nih.gov/pmc/articles/PMC9499287/pdf/pone.0275170.pdf" TargetMode="External"/><Relationship Id="rId24" Type="http://schemas.openxmlformats.org/officeDocument/2006/relationships/hyperlink" Target="https://www.cmaj.ca/content/189/27/e905?" TargetMode="External"/><Relationship Id="rId32" Type="http://schemas.openxmlformats.org/officeDocument/2006/relationships/hyperlink" Target="https://bmcpregnancychildbirth.biomedcentral.com/counter/pdf/10.1186/s12884-020-03380-2.pdf" TargetMode="External"/><Relationship Id="rId37" Type="http://schemas.openxmlformats.org/officeDocument/2006/relationships/hyperlink" Target="https://pmc.ncbi.nlm.nih.gov/articles/PMC6702252/" TargetMode="External"/><Relationship Id="rId5" Type="http://schemas.openxmlformats.org/officeDocument/2006/relationships/hyperlink" Target="https://pmc.ncbi.nlm.nih.gov/articles/PMC1941614/" TargetMode="External"/><Relationship Id="rId15" Type="http://schemas.openxmlformats.org/officeDocument/2006/relationships/hyperlink" Target="https://www.jnhrc.com.np/index.php/jnhrc/article/view/2093/928" TargetMode="External"/><Relationship Id="rId23" Type="http://schemas.openxmlformats.org/officeDocument/2006/relationships/hyperlink" Target="https://jamanetwork.com/journals/jamanetworkopen/fullarticle/2806478" TargetMode="External"/><Relationship Id="rId28" Type="http://schemas.openxmlformats.org/officeDocument/2006/relationships/hyperlink" Target="https://www.sciencedirect.com/science/article/pii/S2214109X23002450?fr=RR-2&amp;ref=pdf_download&amp;rr=8d847e0c5c54c9bf" TargetMode="External"/><Relationship Id="rId36" Type="http://schemas.openxmlformats.org/officeDocument/2006/relationships/hyperlink" Target="https://pmc.ncbi.nlm.nih.gov/articles/PMC9341104/" TargetMode="External"/><Relationship Id="rId10" Type="http://schemas.openxmlformats.org/officeDocument/2006/relationships/hyperlink" Target="https://www.ncbi.nlm.nih.gov/pmc/articles/PMC9499287/pdf/pone.0275170.pdf" TargetMode="External"/><Relationship Id="rId19" Type="http://schemas.openxmlformats.org/officeDocument/2006/relationships/hyperlink" Target="http://erepository.uonbi.ac.ke/handle/11295/25728" TargetMode="External"/><Relationship Id="rId31" Type="http://schemas.openxmlformats.org/officeDocument/2006/relationships/hyperlink" Target="https://pmc.ncbi.nlm.nih.gov/articles/PMC7769286/" TargetMode="External"/><Relationship Id="rId4" Type="http://schemas.openxmlformats.org/officeDocument/2006/relationships/hyperlink" Target="https://pmc.ncbi.nlm.nih.gov/articles/PMC1941614/" TargetMode="External"/><Relationship Id="rId9" Type="http://schemas.openxmlformats.org/officeDocument/2006/relationships/hyperlink" Target="https://pmc.ncbi.nlm.nih.gov/articles/PMC1941614/" TargetMode="External"/><Relationship Id="rId14" Type="http://schemas.openxmlformats.org/officeDocument/2006/relationships/hyperlink" Target="https://www.jnhrc.com.np/index.php/jnhrc/article/view/2093/928" TargetMode="External"/><Relationship Id="rId22" Type="http://schemas.openxmlformats.org/officeDocument/2006/relationships/hyperlink" Target="https://jamanetwork.com/journals/jamanetworkopen/fullarticle/2806478" TargetMode="External"/><Relationship Id="rId27" Type="http://schemas.openxmlformats.org/officeDocument/2006/relationships/hyperlink" Target="https://archpublichealth.biomedcentral.com/articles/10.1186/s13690-021-00732-y" TargetMode="External"/><Relationship Id="rId30" Type="http://schemas.openxmlformats.org/officeDocument/2006/relationships/hyperlink" Target="https://pmc.ncbi.nlm.nih.gov/articles/PMC7769286/" TargetMode="External"/><Relationship Id="rId35" Type="http://schemas.openxmlformats.org/officeDocument/2006/relationships/hyperlink" Target="https://pmc.ncbi.nlm.nih.gov/articles/PMC6702252/" TargetMode="External"/><Relationship Id="rId8" Type="http://schemas.openxmlformats.org/officeDocument/2006/relationships/hyperlink" Target="https://pmc.ncbi.nlm.nih.gov/articles/PMC1941614/" TargetMode="External"/><Relationship Id="rId3" Type="http://schemas.openxmlformats.org/officeDocument/2006/relationships/hyperlink" Target="https://doi.org/10.1111/j.1365-3016.2007.00862.x"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reliasmedia.com/articles/azithromycin-prophylaxis-for-the-prevention-of-maternal-sepsis-or-death-in-women-undergoing-vaginal-delivery?utm_source=chatgpt.com" TargetMode="External"/><Relationship Id="rId13" Type="http://schemas.openxmlformats.org/officeDocument/2006/relationships/table" Target="../tables/table9.xml"/><Relationship Id="rId3" Type="http://schemas.openxmlformats.org/officeDocument/2006/relationships/hyperlink" Target="https://doi.org/10.1016/j.jpeds.2018.01.056" TargetMode="External"/><Relationship Id="rId7" Type="http://schemas.openxmlformats.org/officeDocument/2006/relationships/hyperlink" Target="https://pmc.ncbi.nlm.nih.gov/articles/PMC7061250/" TargetMode="External"/><Relationship Id="rId12" Type="http://schemas.openxmlformats.org/officeDocument/2006/relationships/hyperlink" Target="https://pmc.ncbi.nlm.nih.gov/articles/PMC4590311/" TargetMode="External"/><Relationship Id="rId2" Type="http://schemas.openxmlformats.org/officeDocument/2006/relationships/hyperlink" Target="https://www.us.elsevierhealth.com/gabbes-obstetrics-normal-and-problem-pregnancies-9780323937276.html?srsltid=AfmBOor--m9cnDEKWOSXRkMMWqRu8A2yF6AfHAR9zH0TLeafVUz9Xy9o" TargetMode="External"/><Relationship Id="rId1" Type="http://schemas.openxmlformats.org/officeDocument/2006/relationships/hyperlink" Target="https://www.us.elsevierhealth.com/gabbes-obstetrics-normal-and-problem-pregnancies-9780323937276.html?srsltid=AfmBOor--m9cnDEKWOSXRkMMWqRu8A2yF6AfHAR9zH0TLeafVUz9Xy9o" TargetMode="External"/><Relationship Id="rId6" Type="http://schemas.openxmlformats.org/officeDocument/2006/relationships/hyperlink" Target="https://pmc.ncbi.nlm.nih.gov/articles/PMC3459362/" TargetMode="External"/><Relationship Id="rId11" Type="http://schemas.openxmlformats.org/officeDocument/2006/relationships/hyperlink" Target="https://www.nature.com/articles/s41598-020-72144-x" TargetMode="External"/><Relationship Id="rId5" Type="http://schemas.openxmlformats.org/officeDocument/2006/relationships/hyperlink" Target="https://www.nejm.org/doi/full/10.1056/NEJMoa2303966" TargetMode="External"/><Relationship Id="rId10" Type="http://schemas.openxmlformats.org/officeDocument/2006/relationships/hyperlink" Target="https://obgyn.onlinelibrary.wiley.com/doi/10.1111/1471-0528.12636" TargetMode="External"/><Relationship Id="rId4" Type="http://schemas.openxmlformats.org/officeDocument/2006/relationships/hyperlink" Target="https://doi.org/10.3389/fmicb.2017.00374" TargetMode="External"/><Relationship Id="rId9" Type="http://schemas.openxmlformats.org/officeDocument/2006/relationships/hyperlink" Target="https://journals.lww.com/greenjournal/fulltext/1999/03000/active_phase_labor_arrest__oxytocin_augmentation.1.aspx"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ash.harvard.edu/handle/1/42676027" TargetMode="External"/><Relationship Id="rId13" Type="http://schemas.openxmlformats.org/officeDocument/2006/relationships/hyperlink" Target="https://publications.aap.org/pediatrics/article/148/4/e2021052456/183300/Early-Onset-Sepsis-Among-Very-Preterm-Infants?autologincheck=redirected" TargetMode="External"/><Relationship Id="rId18" Type="http://schemas.openxmlformats.org/officeDocument/2006/relationships/table" Target="../tables/table10.xml"/><Relationship Id="rId3" Type="http://schemas.openxmlformats.org/officeDocument/2006/relationships/hyperlink" Target="https://www.statista.com/statistics/1281232/mean-age-of-childbearing-in-kenya/" TargetMode="External"/><Relationship Id="rId7" Type="http://schemas.openxmlformats.org/officeDocument/2006/relationships/hyperlink" Target="https://obgyn.onlinelibrary.wiley.com/doi/10.1002/ijgo.12815" TargetMode="External"/><Relationship Id="rId12" Type="http://schemas.openxmlformats.org/officeDocument/2006/relationships/hyperlink" Target="https://www.merckmanuals.com/professional/gynecology-and-obstetrics/labor-and-delivery/fetal-monitoring-during-labor-and-delivery" TargetMode="External"/><Relationship Id="rId17" Type="http://schemas.openxmlformats.org/officeDocument/2006/relationships/hyperlink" Target="https://listvisualizer.org/" TargetMode="External"/><Relationship Id="rId2" Type="http://schemas.openxmlformats.org/officeDocument/2006/relationships/hyperlink" Target="https://data.who.int/countries/404" TargetMode="External"/><Relationship Id="rId16" Type="http://schemas.openxmlformats.org/officeDocument/2006/relationships/hyperlink" Target="https://www.researchgate.net/profile/Olusegun-Adebami/publication/301893054_Maternal_and_fetal_determinants_of_mortality_in_babies_with_birth_asphyxia_at_Osogbo_Southwestern_Nigeria/links/572bcaf608aef7c7e2c6b8e8/Maternal-and-fetal-determinants-of-mortality-in-babies-with-birth-asphyxia-at-Osogbo-Southwestern-Nigeria.pdf" TargetMode="External"/><Relationship Id="rId1" Type="http://schemas.openxmlformats.org/officeDocument/2006/relationships/hyperlink" Target="https://data.who.int/countries/404" TargetMode="External"/><Relationship Id="rId6" Type="http://schemas.openxmlformats.org/officeDocument/2006/relationships/hyperlink" Target="https://obgyn.onlinelibrary.wiley.com/doi/10.1002/ijgo.12815" TargetMode="External"/><Relationship Id="rId11" Type="http://schemas.openxmlformats.org/officeDocument/2006/relationships/hyperlink" Target="https://www.merckmanuals.com/professional/gynecology-and-obstetrics/labor-and-delivery/fetal-monitoring-during-labor-and-delivery" TargetMode="External"/><Relationship Id="rId5" Type="http://schemas.openxmlformats.org/officeDocument/2006/relationships/hyperlink" Target="https://obgyn.onlinelibrary.wiley.com/doi/10.1002/ijgo.12815" TargetMode="External"/><Relationship Id="rId15" Type="http://schemas.openxmlformats.org/officeDocument/2006/relationships/hyperlink" Target="https://pubmed.ncbi.nlm.nih.gov/26030329/" TargetMode="External"/><Relationship Id="rId10" Type="http://schemas.openxmlformats.org/officeDocument/2006/relationships/hyperlink" Target="https://stat-technologies.com/product/summit-doppler-hand-held-doppler/" TargetMode="External"/><Relationship Id="rId4" Type="http://schemas.openxmlformats.org/officeDocument/2006/relationships/hyperlink" Target="https://doi.org/10.1007/s11205-022-02910-z" TargetMode="External"/><Relationship Id="rId9" Type="http://schemas.openxmlformats.org/officeDocument/2006/relationships/hyperlink" Target="https://dash.harvard.edu/handle/1/42676027" TargetMode="External"/><Relationship Id="rId14" Type="http://schemas.openxmlformats.org/officeDocument/2006/relationships/hyperlink" Target="https://pubmed.ncbi.nlm.nih.gov/21593813/"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8" Type="http://schemas.openxmlformats.org/officeDocument/2006/relationships/hyperlink" Target="../../../../:x:/r/personal/mchen148_jh_edu/Documents/Kakamega%20SDR%20Project/Kisii%20and%20Mombasa%20Data%20-%20May/3rd%20version/PROMPTS_Data_20250724_v3.xlsx?d=w3ab31af035094921bfcb1ce6763805c7&amp;csf=1&amp;web=1&amp;e=xCJWWc" TargetMode="External"/><Relationship Id="rId3" Type="http://schemas.openxmlformats.org/officeDocument/2006/relationships/hyperlink" Target="https://dash.harvard.edu/handle/1/42676027" TargetMode="External"/><Relationship Id="rId7" Type="http://schemas.openxmlformats.org/officeDocument/2006/relationships/hyperlink" Target="../../../../:x:/r/personal/mchen148_jh_edu/Documents/Kakamega%20SDR%20Project/Kisii%20and%20Mombasa%20Data%20-%20May/3rd%20version/PROMPTS_Data_20250724_v3.xlsx?d=w3ab31af035094921bfcb1ce6763805c7&amp;csf=1&amp;web=1&amp;e=xCJWWc" TargetMode="External"/><Relationship Id="rId12" Type="http://schemas.openxmlformats.org/officeDocument/2006/relationships/table" Target="../tables/table15.xml"/><Relationship Id="rId2" Type="http://schemas.openxmlformats.org/officeDocument/2006/relationships/hyperlink" Target="https://dash.harvard.edu/handle/1/42676027" TargetMode="External"/><Relationship Id="rId1" Type="http://schemas.openxmlformats.org/officeDocument/2006/relationships/hyperlink" Target="https://doi.org/10.1093/heapol/czae088" TargetMode="External"/><Relationship Id="rId6" Type="http://schemas.openxmlformats.org/officeDocument/2006/relationships/hyperlink" Target="https://dash.harvard.edu/handle/1/42676027" TargetMode="External"/><Relationship Id="rId11" Type="http://schemas.openxmlformats.org/officeDocument/2006/relationships/hyperlink" Target="https://pmc.ncbi.nlm.nih.gov/articles/PMC10619084/pdf/bmjopen-2023-072451.pdf" TargetMode="External"/><Relationship Id="rId5" Type="http://schemas.openxmlformats.org/officeDocument/2006/relationships/hyperlink" Target="https://www.knbs.or.ke/wp-content/uploads/2023/09/2019-Kenya-population-and-Housing-Census-Analytical-Report-on-Population-Dynamics.pdf" TargetMode="External"/><Relationship Id="rId10" Type="http://schemas.openxmlformats.org/officeDocument/2006/relationships/hyperlink" Target="https://pmc.ncbi.nlm.nih.gov/articles/PMC10619084/pdf/bmjopen-2023-072451.pdf" TargetMode="External"/><Relationship Id="rId4" Type="http://schemas.openxmlformats.org/officeDocument/2006/relationships/hyperlink" Target="https://pmc.ncbi.nlm.nih.gov/articles/PMC10619084/pdf/bmjopen-2023-072451.pdf" TargetMode="External"/><Relationship Id="rId9" Type="http://schemas.openxmlformats.org/officeDocument/2006/relationships/hyperlink" Target="https://pmc.ncbi.nlm.nih.gov/articles/PMC10619084/pdf/bmjopen-2023-072451.pdf"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8" Type="http://schemas.openxmlformats.org/officeDocument/2006/relationships/hyperlink" Target="https://www.ajol.info/index.php/jogeca/article/view/130771/132911" TargetMode="External"/><Relationship Id="rId13" Type="http://schemas.openxmlformats.org/officeDocument/2006/relationships/hyperlink" Target="https://www.re-solveglobalhealth.com/post/discovering-iv-iron-s-untapped-market-in-lmics-drip-by-drip" TargetMode="External"/><Relationship Id="rId18" Type="http://schemas.openxmlformats.org/officeDocument/2006/relationships/hyperlink" Target="../../../../:x:/r/personal/mchen148_jh_edu/Documents/Kakamega%20SDR%20Project/Kisii%20and%20Mombasa%20Data%20-%20May/3rd%20version/PROMPTS_Data_20250724_v3.xlsx?d=w3ab31af035094921bfcb1ce6763805c7&amp;csf=1&amp;web=1&amp;e=kkzh3F" TargetMode="External"/><Relationship Id="rId26" Type="http://schemas.openxmlformats.org/officeDocument/2006/relationships/table" Target="../tables/table18.xml"/><Relationship Id="rId3" Type="http://schemas.openxmlformats.org/officeDocument/2006/relationships/hyperlink" Target="https://www.nature.com/articles/s41591-024-03069-5" TargetMode="External"/><Relationship Id="rId21" Type="http://schemas.openxmlformats.org/officeDocument/2006/relationships/hyperlink" Target="../../../../:x:/r/personal/mchen148_jh_edu/Documents/Kakamega%20SDR%20Project/Kisii%20and%20Mombasa%20Data%20-%20May/3rd%20version/PROMPTS_Data_20250724_v3.xlsx?d=w3ab31af035094921bfcb1ce6763805c7&amp;csf=1&amp;web=1&amp;e=kkzh3F" TargetMode="External"/><Relationship Id="rId7" Type="http://schemas.openxmlformats.org/officeDocument/2006/relationships/hyperlink" Target="https://bmjopen.bmj.com/content/11/1/e042948" TargetMode="External"/><Relationship Id="rId12" Type="http://schemas.openxmlformats.org/officeDocument/2006/relationships/hyperlink" Target="https://www.nature.com/articles/s41598-020-72144-x" TargetMode="External"/><Relationship Id="rId17" Type="http://schemas.openxmlformats.org/officeDocument/2006/relationships/hyperlink" Target="../../../../:x:/r/personal/mchen148_jh_edu/Documents/Kakamega%20SDR%20Project/Kisii%20and%20Mombasa%20Data%20-%20May/3rd%20version/PROMPTS_Data_20250724_v3.xlsx?d=w3ab31af035094921bfcb1ce6763805c7&amp;csf=1&amp;web=1&amp;e=kkzh3F" TargetMode="External"/><Relationship Id="rId25" Type="http://schemas.openxmlformats.org/officeDocument/2006/relationships/hyperlink" Target="https://link.springer.com/article/10.1186/s12913-023-09884-9" TargetMode="External"/><Relationship Id="rId2" Type="http://schemas.openxmlformats.org/officeDocument/2006/relationships/hyperlink" Target="https://www.nature.com/articles/s41598-020-72144-x" TargetMode="External"/><Relationship Id="rId16" Type="http://schemas.openxmlformats.org/officeDocument/2006/relationships/hyperlink" Target="../../../../:x:/r/personal/mchen148_jh_edu/Documents/Kakamega%20SDR%20Project/Kisii%20and%20Mombasa%20Data%20-%20May/3rd%20version/PROMPTS_Data_20250724_v3.xlsx?d=w3ab31af035094921bfcb1ce6763805c7&amp;csf=1&amp;web=1&amp;e=kkzh3F" TargetMode="External"/><Relationship Id="rId20" Type="http://schemas.openxmlformats.org/officeDocument/2006/relationships/hyperlink" Target="../../../../:x:/r/personal/mchen148_jh_edu/Documents/Kakamega%20SDR%20Project/Kisii%20and%20Mombasa%20Data%20-%20May/3rd%20version/PROMPTS_Data_20250724_v3.xlsx?d=w3ab31af035094921bfcb1ce6763805c7&amp;csf=1&amp;web=1&amp;e=kkzh3F" TargetMode="External"/><Relationship Id="rId1" Type="http://schemas.openxmlformats.org/officeDocument/2006/relationships/hyperlink" Target="https://www.nature.com/articles/s41598-020-72144-x" TargetMode="External"/><Relationship Id="rId6" Type="http://schemas.openxmlformats.org/officeDocument/2006/relationships/hyperlink" Target="https://journals.plos.org/plosone/article?id=10.1371%2Fjournal.pone.0270048" TargetMode="External"/><Relationship Id="rId11" Type="http://schemas.openxmlformats.org/officeDocument/2006/relationships/hyperlink" Target="https://www.nature.com/articles/s41591-024-03069-5" TargetMode="External"/><Relationship Id="rId24" Type="http://schemas.openxmlformats.org/officeDocument/2006/relationships/hyperlink" Target="../../../../:x:/r/personal/mchen148_jh_edu/Documents/Kakamega%20SDR%20Project/Kisii%20and%20Mombasa%20Data%20-%20May/3rd%20version/PROMPTS_Data_20250724_v3.xlsx?d=w3ab31af035094921bfcb1ce6763805c7&amp;csf=1&amp;web=1&amp;e=kkzh3F" TargetMode="External"/><Relationship Id="rId5" Type="http://schemas.openxmlformats.org/officeDocument/2006/relationships/hyperlink" Target="https://journals.plos.org/plosone/article?id=10.1371%2Fjournal.pone.0270048" TargetMode="External"/><Relationship Id="rId15" Type="http://schemas.openxmlformats.org/officeDocument/2006/relationships/hyperlink" Target="https://bmjopen.bmj.com/content/11/1/e042948" TargetMode="External"/><Relationship Id="rId23" Type="http://schemas.openxmlformats.org/officeDocument/2006/relationships/hyperlink" Target="../../../../:x:/r/personal/mchen148_jh_edu/Documents/Kakamega%20SDR%20Project/Kisii%20and%20Mombasa%20Data%20-%20May/3rd%20version/PROMPTS_Data_20250724_v3.xlsx?d=w3ab31af035094921bfcb1ce6763805c7&amp;csf=1&amp;web=1&amp;e=kkzh3F" TargetMode="External"/><Relationship Id="rId10" Type="http://schemas.openxmlformats.org/officeDocument/2006/relationships/hyperlink" Target="https://www.nature.com/articles/s41591-024-03069-5" TargetMode="External"/><Relationship Id="rId19" Type="http://schemas.openxmlformats.org/officeDocument/2006/relationships/hyperlink" Target="../../../../:x:/r/personal/mchen148_jh_edu/Documents/Kakamega%20SDR%20Project/Kisii%20and%20Mombasa%20Data%20-%20May/3rd%20version/PROMPTS_Data_20250724_v3.xlsx?d=w3ab31af035094921bfcb1ce6763805c7&amp;csf=1&amp;web=1&amp;e=kkzh3F" TargetMode="External"/><Relationship Id="rId4" Type="http://schemas.openxmlformats.org/officeDocument/2006/relationships/hyperlink" Target="https://www.nature.com/articles/s41591-024-03069-5" TargetMode="External"/><Relationship Id="rId9" Type="http://schemas.openxmlformats.org/officeDocument/2006/relationships/hyperlink" Target="https://www.re-solveglobalhealth.com/post/discovering-iv-iron-s-untapped-market-in-lmics-drip-by-drip" TargetMode="External"/><Relationship Id="rId14" Type="http://schemas.openxmlformats.org/officeDocument/2006/relationships/hyperlink" Target="https://www.ajol.info/index.php/jogeca/article/view/130771/132911" TargetMode="External"/><Relationship Id="rId22" Type="http://schemas.openxmlformats.org/officeDocument/2006/relationships/hyperlink" Target="../../../../:x:/r/personal/mchen148_jh_edu/Documents/Kakamega%20SDR%20Project/Kisii%20and%20Mombasa%20Data%20-%20May/3rd%20version/PROMPTS_Data_20250724_v3.xlsx?d=w3ab31af035094921bfcb1ce6763805c7&amp;csf=1&amp;web=1&amp;e=kkzh3F"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bmjopen.bmj.com/content/bmjopen/13/10/e074995.full.pdf?with-ds=yes" TargetMode="External"/><Relationship Id="rId13" Type="http://schemas.openxmlformats.org/officeDocument/2006/relationships/hyperlink" Target="https://pubmed.ncbi.nlm.nih.gov/32479522/" TargetMode="External"/><Relationship Id="rId3" Type="http://schemas.openxmlformats.org/officeDocument/2006/relationships/hyperlink" Target="https://pubmed.ncbi.nlm.nih.gov/32479522/" TargetMode="External"/><Relationship Id="rId7" Type="http://schemas.openxmlformats.org/officeDocument/2006/relationships/hyperlink" Target="https://pmc.ncbi.nlm.nih.gov/articles/PMC8987792/?utm_source=chatgpt.com" TargetMode="External"/><Relationship Id="rId12" Type="http://schemas.openxmlformats.org/officeDocument/2006/relationships/hyperlink" Target="https://pubmed.ncbi.nlm.nih.gov/32479522/" TargetMode="External"/><Relationship Id="rId2" Type="http://schemas.openxmlformats.org/officeDocument/2006/relationships/hyperlink" Target="https://bmjopen.bmj.com/content/bmjopen/13/10/e074995.full.pdf?with-ds=yes" TargetMode="External"/><Relationship Id="rId16" Type="http://schemas.openxmlformats.org/officeDocument/2006/relationships/table" Target="../tables/table19.xml"/><Relationship Id="rId1" Type="http://schemas.openxmlformats.org/officeDocument/2006/relationships/hyperlink" Target="https://doi.org/10.1093/heapol/czae088" TargetMode="External"/><Relationship Id="rId6" Type="http://schemas.openxmlformats.org/officeDocument/2006/relationships/hyperlink" Target="https://pmc.ncbi.nlm.nih.gov/articles/PMC8987792/?utm_source=chatgpt.com" TargetMode="External"/><Relationship Id="rId11" Type="http://schemas.openxmlformats.org/officeDocument/2006/relationships/hyperlink" Target="https://pubmed.ncbi.nlm.nih.gov/32479522/" TargetMode="External"/><Relationship Id="rId5" Type="http://schemas.openxmlformats.org/officeDocument/2006/relationships/hyperlink" Target="https://pmc.ncbi.nlm.nih.gov/articles/PMC8987792/?utm_source=chatgpt.com" TargetMode="External"/><Relationship Id="rId15" Type="http://schemas.openxmlformats.org/officeDocument/2006/relationships/hyperlink" Target="../../../../:x:/r/personal/mchen148_jh_edu/Documents/Kakamega%20SDR%20Project/Kisii%20and%20Mombasa%20Data%20-%20May/3rd%20version/PROMPTS_Data_20250724_v3.xlsx?d=w3ab31af035094921bfcb1ce6763805c7&amp;csf=1&amp;web=1&amp;e=1SW2kQ" TargetMode="External"/><Relationship Id="rId10" Type="http://schemas.openxmlformats.org/officeDocument/2006/relationships/hyperlink" Target="https://bmjopen.bmj.com/content/bmjopen/13/10/e074995.full.pdf?with-ds=yes" TargetMode="External"/><Relationship Id="rId4" Type="http://schemas.openxmlformats.org/officeDocument/2006/relationships/hyperlink" Target="https://pmc.ncbi.nlm.nih.gov/articles/PMC8987792/?utm_source=chatgpt.com" TargetMode="External"/><Relationship Id="rId9" Type="http://schemas.openxmlformats.org/officeDocument/2006/relationships/hyperlink" Target="https://bmjopen.bmj.com/content/bmjopen/13/10/e074995.full.pdf?with-ds=yes" TargetMode="External"/><Relationship Id="rId14" Type="http://schemas.openxmlformats.org/officeDocument/2006/relationships/hyperlink" Target="../../../../:x:/r/personal/mchen148_jh_edu/Documents/Kakamega%20SDR%20Project/Kisii%20and%20Mombasa%20Data%20-%20May/3rd%20version/PROMPTS_Data_20250724_v3.xlsx?d=w3ab31af035094921bfcb1ce6763805c7&amp;csf=1&amp;web=1&amp;e=1SW2kQ"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bmjopen.bmj.com/content/11/1/e042948" TargetMode="External"/><Relationship Id="rId13" Type="http://schemas.openxmlformats.org/officeDocument/2006/relationships/hyperlink" Target="https://www.nature.com/articles/s41598-020-72144-x" TargetMode="External"/><Relationship Id="rId18" Type="http://schemas.openxmlformats.org/officeDocument/2006/relationships/hyperlink" Target="https://www.nature.com/articles/s41591-024-03069-5" TargetMode="External"/><Relationship Id="rId26" Type="http://schemas.openxmlformats.org/officeDocument/2006/relationships/table" Target="../tables/table20.xml"/><Relationship Id="rId3" Type="http://schemas.openxmlformats.org/officeDocument/2006/relationships/hyperlink" Target="https://www.nature.com/articles/s41591-024-03069-5" TargetMode="External"/><Relationship Id="rId21" Type="http://schemas.openxmlformats.org/officeDocument/2006/relationships/hyperlink" Target="https://www.re-solveglobalhealth.com/post/discovering-iv-iron-s-untapped-market-in-lmics-drip-by-drip" TargetMode="External"/><Relationship Id="rId7" Type="http://schemas.openxmlformats.org/officeDocument/2006/relationships/hyperlink" Target="https://bmjopen.bmj.com/content/11/1/e042948" TargetMode="External"/><Relationship Id="rId12" Type="http://schemas.openxmlformats.org/officeDocument/2006/relationships/hyperlink" Target="https://journals.plos.org/plosone/article?id=10.1371%2Fjournal.pone.0270048" TargetMode="External"/><Relationship Id="rId17" Type="http://schemas.openxmlformats.org/officeDocument/2006/relationships/hyperlink" Target="https://www.nature.com/articles/s41591-024-03069-5" TargetMode="External"/><Relationship Id="rId25" Type="http://schemas.openxmlformats.org/officeDocument/2006/relationships/hyperlink" Target="https://pmc.ncbi.nlm.nih.gov/articles/PMC4963171/" TargetMode="External"/><Relationship Id="rId2" Type="http://schemas.openxmlformats.org/officeDocument/2006/relationships/hyperlink" Target="https://www.re-solveglobalhealth.com/post/discovering-iv-iron-s-untapped-market-in-lmics-drip-by-drip" TargetMode="External"/><Relationship Id="rId16" Type="http://schemas.openxmlformats.org/officeDocument/2006/relationships/hyperlink" Target="https://www.nature.com/articles/s41591-024-03069-5" TargetMode="External"/><Relationship Id="rId20" Type="http://schemas.openxmlformats.org/officeDocument/2006/relationships/hyperlink" Target="https://www.re-solveglobalhealth.com/post/discovering-iv-iron-s-untapped-market-in-lmics-drip-by-drip" TargetMode="External"/><Relationship Id="rId1" Type="http://schemas.openxmlformats.org/officeDocument/2006/relationships/hyperlink" Target="https://dash.harvard.edu/handle/1/42676027" TargetMode="External"/><Relationship Id="rId6" Type="http://schemas.openxmlformats.org/officeDocument/2006/relationships/hyperlink" Target="https://bmjopen.bmj.com/content/11/1/e042948" TargetMode="External"/><Relationship Id="rId11" Type="http://schemas.openxmlformats.org/officeDocument/2006/relationships/hyperlink" Target="https://journals.plos.org/plosone/article?id=10.1371%2Fjournal.pone.0270048" TargetMode="External"/><Relationship Id="rId24" Type="http://schemas.openxmlformats.org/officeDocument/2006/relationships/hyperlink" Target="https://pmc.ncbi.nlm.nih.gov/articles/PMC4963171/" TargetMode="External"/><Relationship Id="rId5" Type="http://schemas.openxmlformats.org/officeDocument/2006/relationships/hyperlink" Target="https://www.nature.com/articles/s41598-020-72144-x" TargetMode="External"/><Relationship Id="rId15" Type="http://schemas.openxmlformats.org/officeDocument/2006/relationships/hyperlink" Target="https://www.nature.com/articles/s41598-020-72144-x" TargetMode="External"/><Relationship Id="rId23" Type="http://schemas.openxmlformats.org/officeDocument/2006/relationships/hyperlink" Target="https://pmc.ncbi.nlm.nih.gov/articles/PMC4963171/" TargetMode="External"/><Relationship Id="rId10" Type="http://schemas.openxmlformats.org/officeDocument/2006/relationships/hyperlink" Target="https://bmjopen.bmj.com/content/11/1/e042948" TargetMode="External"/><Relationship Id="rId19" Type="http://schemas.openxmlformats.org/officeDocument/2006/relationships/hyperlink" Target="https://www.re-solveglobalhealth.com/post/discovering-iv-iron-s-untapped-market-in-lmics-drip-by-drip" TargetMode="External"/><Relationship Id="rId4" Type="http://schemas.openxmlformats.org/officeDocument/2006/relationships/hyperlink" Target="https://journals.plos.org/plosone/article?id=10.1371%2Fjournal.pone.0270048" TargetMode="External"/><Relationship Id="rId9" Type="http://schemas.openxmlformats.org/officeDocument/2006/relationships/hyperlink" Target="https://journals.plos.org/plosone/article?id=10.1371%2Fjournal.pone.0270048" TargetMode="External"/><Relationship Id="rId14" Type="http://schemas.openxmlformats.org/officeDocument/2006/relationships/hyperlink" Target="https://www.nature.com/articles/s41598-020-72144-x" TargetMode="External"/><Relationship Id="rId22" Type="http://schemas.openxmlformats.org/officeDocument/2006/relationships/hyperlink" Target="https://pmc.ncbi.nlm.nih.gov/articles/PMC4963171/" TargetMode="Externa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835F-7E0B-244F-B435-8FAF56B34FAF}">
  <dimension ref="A1:A2"/>
  <sheetViews>
    <sheetView workbookViewId="0"/>
  </sheetViews>
  <sheetFormatPr defaultColWidth="11" defaultRowHeight="15.95"/>
  <cols>
    <col min="1" max="1" width="20.375" bestFit="1" customWidth="1"/>
  </cols>
  <sheetData>
    <row r="1" spans="1:1">
      <c r="A1" t="s">
        <v>0</v>
      </c>
    </row>
    <row r="2" spans="1:1">
      <c r="A2" s="16">
        <v>46149.456873831019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BA6F-B966-5147-81C1-9EDF4FC3C764}">
  <sheetPr>
    <tabColor theme="7"/>
  </sheetPr>
  <dimension ref="A1:E28"/>
  <sheetViews>
    <sheetView showGridLines="0" zoomScale="150" zoomScaleNormal="150" workbookViewId="0">
      <selection activeCell="G24" sqref="G24"/>
    </sheetView>
  </sheetViews>
  <sheetFormatPr defaultColWidth="11" defaultRowHeight="15.95"/>
  <cols>
    <col min="4" max="4" width="24.125" bestFit="1" customWidth="1"/>
    <col min="5" max="5" width="12.375" bestFit="1" customWidth="1"/>
  </cols>
  <sheetData>
    <row r="1" spans="1:4">
      <c r="A1" s="18" t="s">
        <v>1</v>
      </c>
      <c r="B1" s="19"/>
      <c r="C1" s="19"/>
      <c r="D1" s="20" cm="1">
        <f t="array" ref="D1">Refresh_timestamp[Refresh_timestamp]</f>
        <v>46149.456873831019</v>
      </c>
    </row>
    <row r="3" spans="1:4">
      <c r="A3" s="21" t="s">
        <v>2</v>
      </c>
    </row>
    <row r="4" spans="1:4">
      <c r="B4" t="s">
        <v>3</v>
      </c>
    </row>
    <row r="5" spans="1:4">
      <c r="B5" t="s">
        <v>4</v>
      </c>
    </row>
    <row r="6" spans="1:4">
      <c r="B6" t="s">
        <v>5</v>
      </c>
    </row>
    <row r="7" spans="1:4">
      <c r="B7" t="s">
        <v>6</v>
      </c>
    </row>
    <row r="8" spans="1:4">
      <c r="B8" t="s">
        <v>7</v>
      </c>
    </row>
    <row r="9" spans="1:4">
      <c r="D9" s="12" t="s">
        <v>8</v>
      </c>
    </row>
    <row r="10" spans="1:4">
      <c r="B10" t="s">
        <v>9</v>
      </c>
    </row>
    <row r="11" spans="1:4">
      <c r="D11" s="10" t="s">
        <v>10</v>
      </c>
    </row>
    <row r="12" spans="1:4">
      <c r="D12" s="9" t="s">
        <v>11</v>
      </c>
    </row>
    <row r="13" spans="1:4">
      <c r="D13" s="9" t="s">
        <v>12</v>
      </c>
    </row>
    <row r="14" spans="1:4">
      <c r="D14" s="9" t="s">
        <v>13</v>
      </c>
    </row>
    <row r="15" spans="1:4">
      <c r="D15" s="10" t="s">
        <v>14</v>
      </c>
    </row>
    <row r="16" spans="1:4">
      <c r="B16" t="s">
        <v>15</v>
      </c>
    </row>
    <row r="18" spans="1:5" ht="17.100000000000001" customHeight="1">
      <c r="A18" s="21" t="s">
        <v>16</v>
      </c>
    </row>
    <row r="19" spans="1:5">
      <c r="B19" t="s">
        <v>17</v>
      </c>
    </row>
    <row r="20" spans="1:5">
      <c r="C20" t="s">
        <v>18</v>
      </c>
    </row>
    <row r="21" spans="1:5">
      <c r="C21" t="s">
        <v>19</v>
      </c>
    </row>
    <row r="22" spans="1:5">
      <c r="C22" t="s">
        <v>20</v>
      </c>
    </row>
    <row r="23" spans="1:5">
      <c r="D23" s="14" t="s">
        <v>1</v>
      </c>
      <c r="E23" s="17" cm="1">
        <f t="array" ref="E23">Refresh_timestamp[Refresh_timestamp]</f>
        <v>46149.456873831019</v>
      </c>
    </row>
    <row r="24" spans="1:5">
      <c r="B24" t="s">
        <v>21</v>
      </c>
    </row>
    <row r="25" spans="1:5">
      <c r="B25" t="s">
        <v>22</v>
      </c>
    </row>
    <row r="27" spans="1:5">
      <c r="A27" s="21" t="s">
        <v>23</v>
      </c>
    </row>
    <row r="28" spans="1:5">
      <c r="B28"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2763-DCFB-D548-B249-7D4EC24C552F}">
  <sheetPr>
    <tabColor theme="7"/>
  </sheetPr>
  <dimension ref="B3:G141"/>
  <sheetViews>
    <sheetView showGridLines="0" topLeftCell="A84" zoomScale="130" zoomScaleNormal="130" workbookViewId="0">
      <selection activeCell="B117" sqref="B117"/>
    </sheetView>
  </sheetViews>
  <sheetFormatPr defaultColWidth="11" defaultRowHeight="15.95"/>
  <cols>
    <col min="1" max="1" width="4.125" customWidth="1"/>
    <col min="2" max="2" width="127.625" bestFit="1" customWidth="1"/>
    <col min="3" max="3" width="23.375" customWidth="1"/>
    <col min="4" max="4" width="21.125" customWidth="1"/>
    <col min="5" max="5" width="14.875" bestFit="1" customWidth="1"/>
    <col min="6" max="6" width="13.5" customWidth="1"/>
    <col min="7" max="7" width="53" customWidth="1"/>
    <col min="8" max="8" width="5.5" customWidth="1"/>
    <col min="9" max="9" width="29.375" bestFit="1" customWidth="1"/>
    <col min="11" max="11" width="19.875" customWidth="1"/>
  </cols>
  <sheetData>
    <row r="3" spans="2:7">
      <c r="B3" s="21" t="s">
        <v>25</v>
      </c>
    </row>
    <row r="4" spans="2:7">
      <c r="B4" s="47" t="s">
        <v>26</v>
      </c>
    </row>
    <row r="7" spans="2:7" ht="17.100000000000001">
      <c r="B7" s="57" t="s">
        <v>27</v>
      </c>
      <c r="C7" s="58" t="s">
        <v>28</v>
      </c>
      <c r="D7" s="59" t="s">
        <v>29</v>
      </c>
    </row>
    <row r="8" spans="2:7">
      <c r="B8" s="52" t="s">
        <v>30</v>
      </c>
      <c r="C8" s="54" t="s">
        <v>31</v>
      </c>
      <c r="D8" s="51"/>
    </row>
    <row r="9" spans="2:7">
      <c r="B9" s="55" t="s">
        <v>32</v>
      </c>
      <c r="C9" s="53" t="s">
        <v>33</v>
      </c>
      <c r="D9" s="56"/>
    </row>
    <row r="12" spans="2:7">
      <c r="B12" t="s">
        <v>34</v>
      </c>
      <c r="C12" t="s">
        <v>35</v>
      </c>
      <c r="D12" t="s">
        <v>36</v>
      </c>
      <c r="E12" t="s">
        <v>37</v>
      </c>
      <c r="F12" t="s">
        <v>28</v>
      </c>
      <c r="G12" t="s">
        <v>38</v>
      </c>
    </row>
    <row r="13" spans="2:7" ht="33.950000000000003">
      <c r="B13" s="9" t="s">
        <v>39</v>
      </c>
      <c r="C13" t="s">
        <v>40</v>
      </c>
      <c r="D13" s="50" t="s">
        <v>41</v>
      </c>
      <c r="E13">
        <v>5</v>
      </c>
      <c r="F13" s="34"/>
    </row>
    <row r="14" spans="2:7">
      <c r="B14" s="9" t="s">
        <v>39</v>
      </c>
      <c r="C14" t="s">
        <v>42</v>
      </c>
      <c r="D14" s="31" t="s">
        <v>43</v>
      </c>
      <c r="E14">
        <v>3</v>
      </c>
      <c r="F14" s="34"/>
    </row>
    <row r="15" spans="2:7">
      <c r="B15" s="9" t="s">
        <v>39</v>
      </c>
      <c r="C15" t="s">
        <v>44</v>
      </c>
      <c r="D15" s="31" t="s">
        <v>43</v>
      </c>
      <c r="E15">
        <v>3</v>
      </c>
      <c r="F15" s="34"/>
    </row>
    <row r="16" spans="2:7">
      <c r="B16" s="9" t="s">
        <v>39</v>
      </c>
      <c r="C16" t="s">
        <v>45</v>
      </c>
      <c r="D16" s="31" t="s">
        <v>43</v>
      </c>
      <c r="E16">
        <v>3</v>
      </c>
      <c r="F16" s="34"/>
    </row>
    <row r="17" spans="2:7" ht="33.950000000000003">
      <c r="B17" s="9" t="s">
        <v>8</v>
      </c>
      <c r="C17" t="s">
        <v>40</v>
      </c>
      <c r="D17" s="50" t="s">
        <v>41</v>
      </c>
      <c r="E17" s="27">
        <v>4</v>
      </c>
      <c r="F17" s="34"/>
    </row>
    <row r="18" spans="2:7">
      <c r="B18" s="9" t="s">
        <v>8</v>
      </c>
      <c r="C18" t="s">
        <v>42</v>
      </c>
      <c r="D18" s="31" t="s">
        <v>43</v>
      </c>
      <c r="E18">
        <v>2</v>
      </c>
      <c r="F18" s="34"/>
    </row>
    <row r="19" spans="2:7">
      <c r="B19" s="9" t="s">
        <v>8</v>
      </c>
      <c r="C19" t="s">
        <v>44</v>
      </c>
      <c r="D19" s="31" t="s">
        <v>43</v>
      </c>
      <c r="E19">
        <v>2</v>
      </c>
      <c r="F19" s="34"/>
    </row>
    <row r="20" spans="2:7">
      <c r="B20" s="9" t="s">
        <v>8</v>
      </c>
      <c r="C20" t="s">
        <v>45</v>
      </c>
      <c r="D20" s="31" t="s">
        <v>43</v>
      </c>
      <c r="E20">
        <v>2</v>
      </c>
      <c r="F20" s="34"/>
    </row>
    <row r="21" spans="2:7" ht="33.950000000000003">
      <c r="B21" s="9" t="s">
        <v>46</v>
      </c>
      <c r="C21" t="s">
        <v>40</v>
      </c>
      <c r="D21" s="50" t="s">
        <v>41</v>
      </c>
      <c r="E21">
        <v>1</v>
      </c>
      <c r="F21" s="34"/>
      <c r="G21" s="29"/>
    </row>
    <row r="22" spans="2:7">
      <c r="B22" s="9" t="s">
        <v>11</v>
      </c>
      <c r="C22" t="s">
        <v>40</v>
      </c>
      <c r="D22" s="49" t="s">
        <v>47</v>
      </c>
      <c r="E22">
        <v>3</v>
      </c>
      <c r="F22" s="34"/>
    </row>
    <row r="23" spans="2:7">
      <c r="B23" s="9" t="s">
        <v>11</v>
      </c>
      <c r="C23" t="s">
        <v>42</v>
      </c>
      <c r="D23" s="31" t="s">
        <v>43</v>
      </c>
      <c r="E23">
        <v>1</v>
      </c>
      <c r="F23" s="34"/>
    </row>
    <row r="24" spans="2:7">
      <c r="B24" s="9" t="s">
        <v>11</v>
      </c>
      <c r="C24" t="s">
        <v>44</v>
      </c>
      <c r="D24" s="31" t="s">
        <v>43</v>
      </c>
      <c r="E24">
        <v>1</v>
      </c>
      <c r="F24" s="34"/>
    </row>
    <row r="25" spans="2:7">
      <c r="B25" s="9" t="s">
        <v>11</v>
      </c>
      <c r="C25" t="s">
        <v>45</v>
      </c>
      <c r="D25" s="31" t="s">
        <v>43</v>
      </c>
      <c r="E25">
        <v>1</v>
      </c>
      <c r="F25" s="34"/>
    </row>
    <row r="26" spans="2:7" ht="33.950000000000003">
      <c r="B26" s="9" t="s">
        <v>11</v>
      </c>
      <c r="C26" t="s">
        <v>40</v>
      </c>
      <c r="D26" s="33" t="s">
        <v>48</v>
      </c>
      <c r="E26">
        <v>2</v>
      </c>
      <c r="F26" s="34"/>
    </row>
    <row r="27" spans="2:7">
      <c r="B27" s="9" t="s">
        <v>12</v>
      </c>
      <c r="C27" t="s">
        <v>42</v>
      </c>
      <c r="D27" s="31" t="s">
        <v>43</v>
      </c>
      <c r="E27">
        <v>1</v>
      </c>
      <c r="F27" s="34"/>
      <c r="G27" s="29"/>
    </row>
    <row r="28" spans="2:7">
      <c r="B28" s="9" t="s">
        <v>12</v>
      </c>
      <c r="C28" t="s">
        <v>44</v>
      </c>
      <c r="D28" s="31" t="s">
        <v>43</v>
      </c>
      <c r="E28">
        <v>1</v>
      </c>
      <c r="F28" s="34"/>
      <c r="G28" s="29"/>
    </row>
    <row r="29" spans="2:7">
      <c r="B29" s="9" t="s">
        <v>12</v>
      </c>
      <c r="C29" t="s">
        <v>45</v>
      </c>
      <c r="D29" s="31" t="s">
        <v>43</v>
      </c>
      <c r="E29">
        <v>1</v>
      </c>
      <c r="F29" s="34"/>
      <c r="G29" s="29"/>
    </row>
    <row r="30" spans="2:7" ht="33.950000000000003">
      <c r="B30" s="9" t="s">
        <v>12</v>
      </c>
      <c r="C30" t="s">
        <v>40</v>
      </c>
      <c r="D30" s="50" t="s">
        <v>41</v>
      </c>
      <c r="E30">
        <v>2</v>
      </c>
      <c r="F30" s="34"/>
      <c r="G30" s="29"/>
    </row>
    <row r="31" spans="2:7">
      <c r="B31" s="9" t="s">
        <v>12</v>
      </c>
      <c r="C31" t="s">
        <v>40</v>
      </c>
      <c r="D31" s="49" t="s">
        <v>49</v>
      </c>
      <c r="E31">
        <v>2</v>
      </c>
      <c r="F31" s="34"/>
      <c r="G31" s="29"/>
    </row>
    <row r="32" spans="2:7" ht="33.950000000000003">
      <c r="B32" s="9" t="s">
        <v>13</v>
      </c>
      <c r="C32" t="s">
        <v>40</v>
      </c>
      <c r="D32" s="49" t="s">
        <v>50</v>
      </c>
      <c r="E32">
        <v>1</v>
      </c>
      <c r="F32" s="34"/>
      <c r="G32" s="29" t="s">
        <v>51</v>
      </c>
    </row>
    <row r="34" spans="2:4">
      <c r="D34" s="28" t="s">
        <v>52</v>
      </c>
    </row>
    <row r="35" spans="2:4">
      <c r="B35" s="21"/>
      <c r="C35" s="21"/>
      <c r="D35" s="28" t="s">
        <v>53</v>
      </c>
    </row>
    <row r="36" spans="2:4">
      <c r="B36" s="41" t="s">
        <v>54</v>
      </c>
      <c r="C36" s="23"/>
    </row>
    <row r="37" spans="2:4">
      <c r="B37" s="42" t="s">
        <v>55</v>
      </c>
    </row>
    <row r="39" spans="2:4">
      <c r="C39" t="s">
        <v>56</v>
      </c>
    </row>
    <row r="40" spans="2:4">
      <c r="C40" t="s">
        <v>57</v>
      </c>
    </row>
    <row r="41" spans="2:4">
      <c r="C41" t="s">
        <v>58</v>
      </c>
    </row>
    <row r="45" spans="2:4">
      <c r="B45" s="44" t="s">
        <v>59</v>
      </c>
    </row>
    <row r="46" spans="2:4">
      <c r="B46" s="45" t="s">
        <v>11</v>
      </c>
    </row>
    <row r="47" spans="2:4">
      <c r="B47" s="45" t="s">
        <v>60</v>
      </c>
    </row>
    <row r="48" spans="2:4">
      <c r="B48" s="47" t="s">
        <v>61</v>
      </c>
    </row>
    <row r="49" spans="2:2">
      <c r="B49" s="42" t="s">
        <v>62</v>
      </c>
    </row>
    <row r="50" spans="2:2">
      <c r="B50" s="42" t="s">
        <v>63</v>
      </c>
    </row>
    <row r="51" spans="2:2">
      <c r="B51" s="47" t="s">
        <v>64</v>
      </c>
    </row>
    <row r="52" spans="2:2">
      <c r="B52" s="42" t="s">
        <v>62</v>
      </c>
    </row>
    <row r="53" spans="2:2">
      <c r="B53" s="42" t="s">
        <v>63</v>
      </c>
    </row>
    <row r="54" spans="2:2">
      <c r="B54" s="47" t="s">
        <v>65</v>
      </c>
    </row>
    <row r="55" spans="2:2">
      <c r="B55" s="42" t="s">
        <v>62</v>
      </c>
    </row>
    <row r="56" spans="2:2">
      <c r="B56" s="42" t="s">
        <v>63</v>
      </c>
    </row>
    <row r="57" spans="2:2">
      <c r="B57" s="45" t="s">
        <v>39</v>
      </c>
    </row>
    <row r="58" spans="2:2">
      <c r="B58" s="47" t="s">
        <v>61</v>
      </c>
    </row>
    <row r="59" spans="2:2">
      <c r="B59" s="42" t="s">
        <v>62</v>
      </c>
    </row>
    <row r="60" spans="2:2">
      <c r="B60" s="42" t="s">
        <v>66</v>
      </c>
    </row>
    <row r="61" spans="2:2">
      <c r="B61" s="42" t="s">
        <v>67</v>
      </c>
    </row>
    <row r="62" spans="2:2">
      <c r="B62" s="42" t="s">
        <v>68</v>
      </c>
    </row>
    <row r="63" spans="2:2">
      <c r="B63" s="47" t="s">
        <v>64</v>
      </c>
    </row>
    <row r="64" spans="2:2">
      <c r="B64" s="42" t="s">
        <v>62</v>
      </c>
    </row>
    <row r="65" spans="2:2">
      <c r="B65" s="42" t="s">
        <v>66</v>
      </c>
    </row>
    <row r="66" spans="2:2">
      <c r="B66" s="42" t="s">
        <v>69</v>
      </c>
    </row>
    <row r="67" spans="2:2">
      <c r="B67" s="42" t="s">
        <v>68</v>
      </c>
    </row>
    <row r="68" spans="2:2">
      <c r="B68" s="47" t="s">
        <v>65</v>
      </c>
    </row>
    <row r="69" spans="2:2">
      <c r="B69" s="42" t="s">
        <v>62</v>
      </c>
    </row>
    <row r="70" spans="2:2">
      <c r="B70" s="42" t="s">
        <v>66</v>
      </c>
    </row>
    <row r="71" spans="2:2">
      <c r="B71" s="42" t="s">
        <v>70</v>
      </c>
    </row>
    <row r="72" spans="2:2">
      <c r="B72" s="42" t="s">
        <v>68</v>
      </c>
    </row>
    <row r="73" spans="2:2">
      <c r="B73" s="45" t="s">
        <v>8</v>
      </c>
    </row>
    <row r="74" spans="2:2">
      <c r="B74" s="47" t="s">
        <v>61</v>
      </c>
    </row>
    <row r="75" spans="2:2">
      <c r="B75" s="42" t="s">
        <v>71</v>
      </c>
    </row>
    <row r="76" spans="2:2">
      <c r="B76" s="47" t="s">
        <v>64</v>
      </c>
    </row>
    <row r="77" spans="2:2">
      <c r="B77" s="42" t="s">
        <v>71</v>
      </c>
    </row>
    <row r="78" spans="2:2">
      <c r="B78" s="47" t="s">
        <v>65</v>
      </c>
    </row>
    <row r="79" spans="2:2">
      <c r="B79" s="42" t="s">
        <v>71</v>
      </c>
    </row>
    <row r="80" spans="2:2">
      <c r="B80" s="45" t="s">
        <v>46</v>
      </c>
    </row>
    <row r="81" spans="2:2">
      <c r="B81" s="47" t="s">
        <v>61</v>
      </c>
    </row>
    <row r="82" spans="2:2">
      <c r="B82" s="42" t="s">
        <v>72</v>
      </c>
    </row>
    <row r="83" spans="2:2">
      <c r="B83" s="42" t="s">
        <v>73</v>
      </c>
    </row>
    <row r="84" spans="2:2">
      <c r="B84" s="42" t="s">
        <v>74</v>
      </c>
    </row>
    <row r="85" spans="2:2">
      <c r="B85" s="42" t="s">
        <v>75</v>
      </c>
    </row>
    <row r="86" spans="2:2">
      <c r="B86" s="42" t="s">
        <v>76</v>
      </c>
    </row>
    <row r="87" spans="2:2">
      <c r="B87" s="42" t="s">
        <v>77</v>
      </c>
    </row>
    <row r="88" spans="2:2">
      <c r="B88" s="42" t="s">
        <v>62</v>
      </c>
    </row>
    <row r="89" spans="2:2">
      <c r="B89" s="42" t="s">
        <v>67</v>
      </c>
    </row>
    <row r="90" spans="2:2">
      <c r="B90" s="42" t="s">
        <v>78</v>
      </c>
    </row>
    <row r="91" spans="2:2">
      <c r="B91" s="42" t="s">
        <v>79</v>
      </c>
    </row>
    <row r="92" spans="2:2">
      <c r="B92" s="42" t="s">
        <v>80</v>
      </c>
    </row>
    <row r="93" spans="2:2">
      <c r="B93" s="42" t="s">
        <v>81</v>
      </c>
    </row>
    <row r="94" spans="2:2">
      <c r="B94" s="42" t="s">
        <v>82</v>
      </c>
    </row>
    <row r="95" spans="2:2">
      <c r="B95" s="42" t="s">
        <v>83</v>
      </c>
    </row>
    <row r="96" spans="2:2">
      <c r="B96" s="47" t="s">
        <v>64</v>
      </c>
    </row>
    <row r="97" spans="2:2">
      <c r="B97" s="42" t="s">
        <v>72</v>
      </c>
    </row>
    <row r="98" spans="2:2">
      <c r="B98" s="42" t="s">
        <v>73</v>
      </c>
    </row>
    <row r="99" spans="2:2">
      <c r="B99" s="42" t="s">
        <v>74</v>
      </c>
    </row>
    <row r="100" spans="2:2">
      <c r="B100" s="42" t="s">
        <v>75</v>
      </c>
    </row>
    <row r="101" spans="2:2">
      <c r="B101" s="42" t="s">
        <v>76</v>
      </c>
    </row>
    <row r="102" spans="2:2">
      <c r="B102" s="42" t="s">
        <v>77</v>
      </c>
    </row>
    <row r="103" spans="2:2">
      <c r="B103" s="42" t="s">
        <v>62</v>
      </c>
    </row>
    <row r="104" spans="2:2">
      <c r="B104" s="42" t="s">
        <v>67</v>
      </c>
    </row>
    <row r="105" spans="2:2">
      <c r="B105" s="42" t="s">
        <v>84</v>
      </c>
    </row>
    <row r="106" spans="2:2">
      <c r="B106" s="42" t="s">
        <v>85</v>
      </c>
    </row>
    <row r="107" spans="2:2">
      <c r="B107" s="42" t="s">
        <v>86</v>
      </c>
    </row>
    <row r="108" spans="2:2">
      <c r="B108" s="42" t="s">
        <v>83</v>
      </c>
    </row>
    <row r="109" spans="2:2">
      <c r="B109" s="47" t="s">
        <v>65</v>
      </c>
    </row>
    <row r="110" spans="2:2">
      <c r="B110" s="42" t="s">
        <v>72</v>
      </c>
    </row>
    <row r="111" spans="2:2">
      <c r="B111" s="42" t="s">
        <v>73</v>
      </c>
    </row>
    <row r="112" spans="2:2">
      <c r="B112" s="42" t="s">
        <v>74</v>
      </c>
    </row>
    <row r="113" spans="2:2">
      <c r="B113" s="42" t="s">
        <v>75</v>
      </c>
    </row>
    <row r="114" spans="2:2">
      <c r="B114" s="42" t="s">
        <v>76</v>
      </c>
    </row>
    <row r="115" spans="2:2">
      <c r="B115" s="42" t="s">
        <v>77</v>
      </c>
    </row>
    <row r="116" spans="2:2">
      <c r="B116" s="42" t="s">
        <v>62</v>
      </c>
    </row>
    <row r="117" spans="2:2">
      <c r="B117" s="42" t="s">
        <v>67</v>
      </c>
    </row>
    <row r="118" spans="2:2">
      <c r="B118" s="42" t="s">
        <v>83</v>
      </c>
    </row>
    <row r="119" spans="2:2">
      <c r="B119" s="45" t="s">
        <v>12</v>
      </c>
    </row>
    <row r="120" spans="2:2">
      <c r="B120" s="47" t="s">
        <v>61</v>
      </c>
    </row>
    <row r="121" spans="2:2">
      <c r="B121" s="42" t="s">
        <v>72</v>
      </c>
    </row>
    <row r="122" spans="2:2">
      <c r="B122" s="42" t="s">
        <v>74</v>
      </c>
    </row>
    <row r="123" spans="2:2">
      <c r="B123" s="42" t="s">
        <v>75</v>
      </c>
    </row>
    <row r="124" spans="2:2">
      <c r="B124" s="42" t="s">
        <v>76</v>
      </c>
    </row>
    <row r="125" spans="2:2">
      <c r="B125" s="42" t="s">
        <v>77</v>
      </c>
    </row>
    <row r="126" spans="2:2">
      <c r="B126" s="42" t="s">
        <v>62</v>
      </c>
    </row>
    <row r="127" spans="2:2">
      <c r="B127" s="47" t="s">
        <v>64</v>
      </c>
    </row>
    <row r="128" spans="2:2">
      <c r="B128" s="42" t="s">
        <v>72</v>
      </c>
    </row>
    <row r="129" spans="2:2">
      <c r="B129" s="42" t="s">
        <v>74</v>
      </c>
    </row>
    <row r="130" spans="2:2">
      <c r="B130" s="42" t="s">
        <v>75</v>
      </c>
    </row>
    <row r="131" spans="2:2">
      <c r="B131" s="42" t="s">
        <v>76</v>
      </c>
    </row>
    <row r="132" spans="2:2">
      <c r="B132" s="42" t="s">
        <v>77</v>
      </c>
    </row>
    <row r="133" spans="2:2">
      <c r="B133" s="42" t="s">
        <v>62</v>
      </c>
    </row>
    <row r="134" spans="2:2">
      <c r="B134" s="47" t="s">
        <v>65</v>
      </c>
    </row>
    <row r="135" spans="2:2">
      <c r="B135" s="42" t="s">
        <v>72</v>
      </c>
    </row>
    <row r="136" spans="2:2">
      <c r="B136" s="42" t="s">
        <v>74</v>
      </c>
    </row>
    <row r="137" spans="2:2">
      <c r="B137" s="42" t="s">
        <v>75</v>
      </c>
    </row>
    <row r="138" spans="2:2">
      <c r="B138" s="42" t="s">
        <v>76</v>
      </c>
    </row>
    <row r="139" spans="2:2">
      <c r="B139" s="42" t="s">
        <v>77</v>
      </c>
    </row>
    <row r="140" spans="2:2">
      <c r="B140" s="42" t="s">
        <v>62</v>
      </c>
    </row>
    <row r="141" spans="2:2">
      <c r="B141" s="45" t="s">
        <v>87</v>
      </c>
    </row>
  </sheetData>
  <dataValidations count="1">
    <dataValidation type="list" allowBlank="1" showInputMessage="1" showErrorMessage="1" sqref="C8:C9 F13:F32" xr:uid="{B451F563-032C-9349-A936-11005293784C}">
      <formula1>"Meibin, May, Kelly"</formula1>
    </dataValidation>
  </dataValidations>
  <pageMargins left="0.7" right="0.7" top="0.75" bottom="0.75" header="0.3" footer="0.3"/>
  <ignoredErrors>
    <ignoredError sqref="F12" listDataValidation="1"/>
  </ignoredError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22946-38F6-1B4B-ABDA-5EF1654AABE3}">
  <sheetPr>
    <tabColor theme="7"/>
  </sheetPr>
  <dimension ref="A1:P760"/>
  <sheetViews>
    <sheetView showGridLines="0" tabSelected="1" topLeftCell="A2" zoomScale="134" workbookViewId="0">
      <pane xSplit="1" topLeftCell="B1" activePane="topRight" state="frozen"/>
      <selection pane="topRight" activeCell="A2" sqref="A2"/>
    </sheetView>
  </sheetViews>
  <sheetFormatPr defaultColWidth="11" defaultRowHeight="15.95"/>
  <cols>
    <col min="1" max="1" width="31.625" bestFit="1" customWidth="1"/>
    <col min="2" max="2" width="13.625" bestFit="1" customWidth="1"/>
    <col min="3" max="3" width="10.5" bestFit="1" customWidth="1"/>
    <col min="4" max="4" width="10.625" bestFit="1" customWidth="1"/>
    <col min="5" max="5" width="8.125" bestFit="1" customWidth="1"/>
    <col min="6" max="6" width="9.625" bestFit="1" customWidth="1"/>
    <col min="7" max="7" width="13.875" bestFit="1" customWidth="1"/>
    <col min="8" max="8" width="80.625" bestFit="1" customWidth="1"/>
    <col min="9" max="9" width="15.625" style="29" bestFit="1" customWidth="1"/>
    <col min="10" max="10" width="12" style="29" bestFit="1" customWidth="1"/>
    <col min="11" max="11" width="19" bestFit="1" customWidth="1"/>
    <col min="12" max="12" width="8" bestFit="1" customWidth="1"/>
    <col min="13" max="13" width="9.125" bestFit="1" customWidth="1"/>
    <col min="14" max="14" width="14" bestFit="1" customWidth="1"/>
    <col min="15" max="15" width="14.875" bestFit="1" customWidth="1"/>
    <col min="16" max="18" width="15.875" bestFit="1" customWidth="1"/>
    <col min="19" max="19" width="6.5" bestFit="1" customWidth="1"/>
    <col min="20" max="21" width="9.375" bestFit="1" customWidth="1"/>
    <col min="22" max="22" width="15.5" bestFit="1" customWidth="1"/>
  </cols>
  <sheetData>
    <row r="1" spans="1:16">
      <c r="A1" s="22" t="s">
        <v>88</v>
      </c>
    </row>
    <row r="2" spans="1:16" ht="17.100000000000001">
      <c r="A2" t="s">
        <v>89</v>
      </c>
      <c r="B2" t="s">
        <v>90</v>
      </c>
      <c r="C2" t="s">
        <v>91</v>
      </c>
      <c r="D2" t="s">
        <v>92</v>
      </c>
      <c r="E2" t="s">
        <v>93</v>
      </c>
      <c r="F2" t="s">
        <v>94</v>
      </c>
      <c r="G2" t="s">
        <v>95</v>
      </c>
      <c r="H2" t="s">
        <v>96</v>
      </c>
      <c r="I2" s="29" t="s">
        <v>97</v>
      </c>
      <c r="J2" s="29" t="s">
        <v>98</v>
      </c>
      <c r="K2" t="s">
        <v>99</v>
      </c>
      <c r="L2" t="s">
        <v>100</v>
      </c>
      <c r="M2" t="s">
        <v>101</v>
      </c>
      <c r="N2" t="s">
        <v>102</v>
      </c>
      <c r="O2" t="s">
        <v>103</v>
      </c>
      <c r="P2" t="s">
        <v>104</v>
      </c>
    </row>
    <row r="3" spans="1:16" ht="68.099999999999994">
      <c r="A3" t="s">
        <v>105</v>
      </c>
      <c r="B3">
        <v>0.122</v>
      </c>
      <c r="C3">
        <v>0.11899999999999999</v>
      </c>
      <c r="D3">
        <v>0.125</v>
      </c>
      <c r="E3">
        <v>50981</v>
      </c>
      <c r="F3" t="s">
        <v>106</v>
      </c>
      <c r="G3" t="s">
        <v>107</v>
      </c>
      <c r="H3" t="s">
        <v>108</v>
      </c>
      <c r="J3" s="29" t="s">
        <v>109</v>
      </c>
      <c r="K3" t="s">
        <v>110</v>
      </c>
    </row>
    <row r="4" spans="1:16" ht="51">
      <c r="A4" t="s">
        <v>111</v>
      </c>
      <c r="B4">
        <v>0.98499999999999999</v>
      </c>
      <c r="C4">
        <v>0.98399999999999999</v>
      </c>
      <c r="D4">
        <v>0.98599999999999999</v>
      </c>
      <c r="E4">
        <v>44031</v>
      </c>
      <c r="F4" t="s">
        <v>106</v>
      </c>
      <c r="G4" t="s">
        <v>107</v>
      </c>
      <c r="H4" t="s">
        <v>112</v>
      </c>
      <c r="J4" s="29" t="s">
        <v>113</v>
      </c>
      <c r="K4" t="s">
        <v>110</v>
      </c>
    </row>
    <row r="5" spans="1:16" ht="33.950000000000003">
      <c r="A5" t="s">
        <v>114</v>
      </c>
      <c r="B5">
        <v>0.48</v>
      </c>
      <c r="C5">
        <v>0.47899999999999998</v>
      </c>
      <c r="D5">
        <v>0.48099999999999998</v>
      </c>
      <c r="F5" t="s">
        <v>115</v>
      </c>
      <c r="G5" t="s">
        <v>116</v>
      </c>
      <c r="H5" t="s">
        <v>117</v>
      </c>
      <c r="J5" s="29" t="s">
        <v>118</v>
      </c>
      <c r="K5" t="s">
        <v>110</v>
      </c>
    </row>
    <row r="6" spans="1:16" ht="33.950000000000003">
      <c r="A6" t="s">
        <v>119</v>
      </c>
      <c r="B6">
        <v>0.64300000000000002</v>
      </c>
      <c r="C6">
        <v>0.64100000000000001</v>
      </c>
      <c r="D6">
        <v>0.64500000000000002</v>
      </c>
      <c r="E6">
        <v>165908</v>
      </c>
      <c r="F6" t="s">
        <v>106</v>
      </c>
      <c r="G6" t="s">
        <v>116</v>
      </c>
      <c r="H6" t="s">
        <v>120</v>
      </c>
      <c r="J6" s="29" t="s">
        <v>121</v>
      </c>
      <c r="K6" t="s">
        <v>110</v>
      </c>
    </row>
    <row r="7" spans="1:16" ht="33.950000000000003">
      <c r="A7" t="s">
        <v>122</v>
      </c>
      <c r="B7">
        <v>3.9E-2</v>
      </c>
      <c r="C7">
        <v>3.7999999999999999E-2</v>
      </c>
      <c r="D7">
        <v>0.04</v>
      </c>
      <c r="E7">
        <v>165908</v>
      </c>
      <c r="F7" t="s">
        <v>106</v>
      </c>
      <c r="G7" t="s">
        <v>116</v>
      </c>
      <c r="H7" t="s">
        <v>123</v>
      </c>
      <c r="J7" s="29" t="s">
        <v>121</v>
      </c>
      <c r="K7" t="s">
        <v>110</v>
      </c>
    </row>
    <row r="8" spans="1:16" ht="33.950000000000003">
      <c r="A8" t="s">
        <v>124</v>
      </c>
      <c r="B8">
        <v>0.03</v>
      </c>
      <c r="C8">
        <v>2.9000000000000001E-2</v>
      </c>
      <c r="D8">
        <v>3.1E-2</v>
      </c>
      <c r="E8">
        <v>165908</v>
      </c>
      <c r="F8" t="s">
        <v>106</v>
      </c>
      <c r="G8" t="s">
        <v>116</v>
      </c>
      <c r="H8" t="s">
        <v>125</v>
      </c>
      <c r="J8" s="29" t="s">
        <v>121</v>
      </c>
      <c r="K8" t="s">
        <v>110</v>
      </c>
    </row>
    <row r="9" spans="1:16" ht="33.950000000000003">
      <c r="A9" t="s">
        <v>126</v>
      </c>
      <c r="B9">
        <v>0.105</v>
      </c>
      <c r="C9">
        <v>0.104</v>
      </c>
      <c r="D9">
        <v>0.106</v>
      </c>
      <c r="E9">
        <v>165908</v>
      </c>
      <c r="F9" t="s">
        <v>106</v>
      </c>
      <c r="G9" t="s">
        <v>116</v>
      </c>
      <c r="H9" t="s">
        <v>127</v>
      </c>
      <c r="J9" s="29" t="s">
        <v>121</v>
      </c>
      <c r="K9" t="s">
        <v>110</v>
      </c>
    </row>
    <row r="10" spans="1:16" ht="51">
      <c r="A10" t="s">
        <v>128</v>
      </c>
      <c r="B10">
        <v>7.2999999999999995E-2</v>
      </c>
      <c r="C10">
        <v>6.7000000000000004E-2</v>
      </c>
      <c r="D10">
        <v>7.9000000000000001E-2</v>
      </c>
      <c r="E10">
        <v>6168</v>
      </c>
      <c r="F10" t="s">
        <v>106</v>
      </c>
      <c r="G10" t="s">
        <v>129</v>
      </c>
      <c r="H10" t="s">
        <v>130</v>
      </c>
      <c r="J10" s="29" t="s">
        <v>131</v>
      </c>
      <c r="K10" t="s">
        <v>110</v>
      </c>
    </row>
    <row r="11" spans="1:16" ht="51">
      <c r="A11" t="s">
        <v>132</v>
      </c>
      <c r="B11">
        <v>7.9000000000000001E-2</v>
      </c>
      <c r="C11">
        <v>7.4999999999999997E-2</v>
      </c>
      <c r="D11">
        <v>8.3000000000000004E-2</v>
      </c>
      <c r="E11">
        <v>15773</v>
      </c>
      <c r="F11" t="s">
        <v>106</v>
      </c>
      <c r="G11" t="s">
        <v>129</v>
      </c>
      <c r="H11" t="s">
        <v>133</v>
      </c>
      <c r="J11" s="29" t="s">
        <v>131</v>
      </c>
      <c r="K11" t="s">
        <v>110</v>
      </c>
    </row>
    <row r="12" spans="1:16" ht="51">
      <c r="A12" t="s">
        <v>134</v>
      </c>
      <c r="B12">
        <v>9.1999999999999998E-2</v>
      </c>
      <c r="C12">
        <v>8.8999999999999996E-2</v>
      </c>
      <c r="D12">
        <v>9.5000000000000001E-2</v>
      </c>
      <c r="E12">
        <v>30685</v>
      </c>
      <c r="F12" t="s">
        <v>106</v>
      </c>
      <c r="G12" t="s">
        <v>129</v>
      </c>
      <c r="H12" t="s">
        <v>135</v>
      </c>
      <c r="J12" s="29" t="s">
        <v>131</v>
      </c>
      <c r="K12" t="s">
        <v>110</v>
      </c>
    </row>
    <row r="13" spans="1:16" ht="51">
      <c r="A13" t="s">
        <v>136</v>
      </c>
      <c r="B13">
        <v>0.112</v>
      </c>
      <c r="C13">
        <v>0.109</v>
      </c>
      <c r="D13">
        <v>0.115</v>
      </c>
      <c r="E13">
        <v>44722</v>
      </c>
      <c r="F13" t="s">
        <v>106</v>
      </c>
      <c r="G13" t="s">
        <v>129</v>
      </c>
      <c r="H13" t="s">
        <v>137</v>
      </c>
      <c r="J13" s="29" t="s">
        <v>131</v>
      </c>
      <c r="K13" t="s">
        <v>110</v>
      </c>
    </row>
    <row r="14" spans="1:16" ht="51">
      <c r="A14" t="s">
        <v>138</v>
      </c>
      <c r="B14">
        <v>0.14899999999999999</v>
      </c>
      <c r="C14">
        <v>0.14399999999999999</v>
      </c>
      <c r="D14">
        <v>0.154</v>
      </c>
      <c r="E14">
        <v>18638</v>
      </c>
      <c r="F14" t="s">
        <v>106</v>
      </c>
      <c r="G14" t="s">
        <v>129</v>
      </c>
      <c r="H14" t="s">
        <v>139</v>
      </c>
      <c r="J14" s="29" t="s">
        <v>131</v>
      </c>
      <c r="K14" t="s">
        <v>110</v>
      </c>
    </row>
    <row r="15" spans="1:16" ht="51">
      <c r="A15" t="s">
        <v>140</v>
      </c>
      <c r="B15">
        <v>0.19700000000000001</v>
      </c>
      <c r="C15">
        <v>0.183</v>
      </c>
      <c r="D15">
        <v>0.21099999999999999</v>
      </c>
      <c r="E15">
        <v>3268</v>
      </c>
      <c r="F15" t="s">
        <v>106</v>
      </c>
      <c r="G15" t="s">
        <v>129</v>
      </c>
      <c r="H15" t="s">
        <v>141</v>
      </c>
      <c r="J15" s="29" t="s">
        <v>131</v>
      </c>
      <c r="K15" t="s">
        <v>110</v>
      </c>
    </row>
    <row r="16" spans="1:16" ht="51">
      <c r="A16" t="s">
        <v>142</v>
      </c>
      <c r="B16">
        <v>7.0000000000000007E-2</v>
      </c>
      <c r="C16">
        <v>4.2000000000000003E-2</v>
      </c>
      <c r="D16">
        <v>9.8000000000000004E-2</v>
      </c>
      <c r="E16">
        <v>318</v>
      </c>
      <c r="F16" t="s">
        <v>106</v>
      </c>
      <c r="G16" t="s">
        <v>129</v>
      </c>
      <c r="H16" t="s">
        <v>143</v>
      </c>
      <c r="I16" s="29" t="s">
        <v>144</v>
      </c>
      <c r="J16" s="29" t="s">
        <v>145</v>
      </c>
      <c r="K16" t="s">
        <v>110</v>
      </c>
    </row>
    <row r="17" spans="1:11" ht="51">
      <c r="A17" t="s">
        <v>146</v>
      </c>
      <c r="B17">
        <v>0.185</v>
      </c>
      <c r="C17">
        <v>0.14199999999999999</v>
      </c>
      <c r="D17">
        <v>0.22800000000000001</v>
      </c>
      <c r="E17">
        <v>318</v>
      </c>
      <c r="F17" t="s">
        <v>106</v>
      </c>
      <c r="G17" t="s">
        <v>129</v>
      </c>
      <c r="H17" t="s">
        <v>147</v>
      </c>
      <c r="I17" s="29" t="s">
        <v>144</v>
      </c>
      <c r="J17" s="29" t="s">
        <v>145</v>
      </c>
      <c r="K17" t="s">
        <v>110</v>
      </c>
    </row>
    <row r="18" spans="1:11" ht="51">
      <c r="A18" t="s">
        <v>148</v>
      </c>
      <c r="B18">
        <v>0.105</v>
      </c>
      <c r="C18">
        <v>8.3000000000000004E-2</v>
      </c>
      <c r="D18">
        <v>0.127</v>
      </c>
      <c r="E18">
        <v>779</v>
      </c>
      <c r="F18" t="s">
        <v>106</v>
      </c>
      <c r="G18" t="s">
        <v>129</v>
      </c>
      <c r="H18" t="s">
        <v>149</v>
      </c>
      <c r="J18" s="29" t="s">
        <v>150</v>
      </c>
      <c r="K18" t="s">
        <v>110</v>
      </c>
    </row>
    <row r="19" spans="1:11" ht="51">
      <c r="A19" t="s">
        <v>151</v>
      </c>
      <c r="B19">
        <v>0.35699999999999998</v>
      </c>
      <c r="C19">
        <v>0.22700000000000001</v>
      </c>
      <c r="D19">
        <v>0.47399999999999998</v>
      </c>
      <c r="F19" t="s">
        <v>106</v>
      </c>
      <c r="G19" t="s">
        <v>152</v>
      </c>
      <c r="H19" t="s">
        <v>153</v>
      </c>
      <c r="J19" s="29" t="s">
        <v>154</v>
      </c>
      <c r="K19" t="s">
        <v>110</v>
      </c>
    </row>
    <row r="20" spans="1:11" ht="68.099999999999994">
      <c r="A20" t="s">
        <v>155</v>
      </c>
      <c r="B20">
        <v>7.0000000000000007E-2</v>
      </c>
      <c r="C20">
        <v>3.2000000000000001E-2</v>
      </c>
      <c r="D20">
        <v>0.108</v>
      </c>
      <c r="E20">
        <v>170</v>
      </c>
      <c r="F20" t="s">
        <v>106</v>
      </c>
      <c r="G20" t="s">
        <v>152</v>
      </c>
      <c r="H20" t="s">
        <v>156</v>
      </c>
      <c r="J20" s="29" t="s">
        <v>157</v>
      </c>
      <c r="K20" t="s">
        <v>110</v>
      </c>
    </row>
    <row r="21" spans="1:11" ht="68.099999999999994">
      <c r="A21" t="s">
        <v>158</v>
      </c>
      <c r="B21">
        <v>0.33500000000000002</v>
      </c>
      <c r="C21">
        <v>0.26400000000000001</v>
      </c>
      <c r="D21">
        <v>0.40600000000000003</v>
      </c>
      <c r="E21">
        <v>170</v>
      </c>
      <c r="F21" t="s">
        <v>106</v>
      </c>
      <c r="G21" t="s">
        <v>152</v>
      </c>
      <c r="H21" t="s">
        <v>159</v>
      </c>
      <c r="J21" s="29" t="s">
        <v>157</v>
      </c>
      <c r="K21" t="s">
        <v>110</v>
      </c>
    </row>
    <row r="22" spans="1:11" ht="51">
      <c r="A22" t="s">
        <v>160</v>
      </c>
      <c r="B22">
        <v>0.14799999999999999</v>
      </c>
      <c r="C22">
        <v>8.7999999999999995E-2</v>
      </c>
      <c r="D22">
        <v>0.20799999999999999</v>
      </c>
      <c r="E22">
        <v>135</v>
      </c>
      <c r="F22" t="s">
        <v>106</v>
      </c>
      <c r="G22" t="s">
        <v>152</v>
      </c>
      <c r="H22" t="s">
        <v>161</v>
      </c>
      <c r="J22" s="29" t="s">
        <v>162</v>
      </c>
      <c r="K22" t="s">
        <v>110</v>
      </c>
    </row>
    <row r="23" spans="1:11" ht="68.099999999999994">
      <c r="A23" t="s">
        <v>163</v>
      </c>
      <c r="B23">
        <v>6.4000000000000001E-2</v>
      </c>
      <c r="C23">
        <v>2.7E-2</v>
      </c>
      <c r="D23">
        <v>0.10100000000000001</v>
      </c>
      <c r="E23">
        <v>170</v>
      </c>
      <c r="F23" t="s">
        <v>106</v>
      </c>
      <c r="G23" t="s">
        <v>152</v>
      </c>
      <c r="H23" t="s">
        <v>164</v>
      </c>
      <c r="J23" s="29" t="s">
        <v>157</v>
      </c>
      <c r="K23" t="s">
        <v>110</v>
      </c>
    </row>
    <row r="24" spans="1:11" ht="68.099999999999994">
      <c r="A24" t="s">
        <v>165</v>
      </c>
      <c r="B24">
        <v>0.188</v>
      </c>
      <c r="C24">
        <v>0.129</v>
      </c>
      <c r="D24">
        <v>0.247</v>
      </c>
      <c r="E24">
        <v>170</v>
      </c>
      <c r="F24" t="s">
        <v>106</v>
      </c>
      <c r="G24" t="s">
        <v>152</v>
      </c>
      <c r="H24" t="s">
        <v>166</v>
      </c>
      <c r="J24" s="29" t="s">
        <v>157</v>
      </c>
      <c r="K24" t="s">
        <v>110</v>
      </c>
    </row>
    <row r="25" spans="1:11" ht="51">
      <c r="A25" t="s">
        <v>167</v>
      </c>
      <c r="B25">
        <v>0.185</v>
      </c>
      <c r="C25">
        <v>0.11899999999999999</v>
      </c>
      <c r="D25">
        <v>0.251</v>
      </c>
      <c r="E25">
        <v>135</v>
      </c>
      <c r="F25" t="s">
        <v>106</v>
      </c>
      <c r="G25" t="s">
        <v>152</v>
      </c>
      <c r="H25" t="s">
        <v>168</v>
      </c>
      <c r="J25" s="29" t="s">
        <v>162</v>
      </c>
      <c r="K25" t="s">
        <v>110</v>
      </c>
    </row>
    <row r="26" spans="1:11" ht="51">
      <c r="A26" t="s">
        <v>169</v>
      </c>
      <c r="B26">
        <v>0.69199999999999995</v>
      </c>
      <c r="C26">
        <v>0.51500000000000001</v>
      </c>
      <c r="D26">
        <v>0.86899999999999999</v>
      </c>
      <c r="E26">
        <v>26</v>
      </c>
      <c r="F26" t="s">
        <v>106</v>
      </c>
      <c r="G26" t="s">
        <v>152</v>
      </c>
      <c r="H26" t="s">
        <v>170</v>
      </c>
      <c r="J26" s="29" t="s">
        <v>171</v>
      </c>
      <c r="K26" t="s">
        <v>110</v>
      </c>
    </row>
    <row r="27" spans="1:11" ht="51">
      <c r="A27" t="s">
        <v>172</v>
      </c>
      <c r="B27">
        <v>0.16500000000000001</v>
      </c>
      <c r="C27">
        <v>0.10199999999999999</v>
      </c>
      <c r="D27">
        <v>0.22800000000000001</v>
      </c>
      <c r="E27">
        <v>135</v>
      </c>
      <c r="F27" t="s">
        <v>106</v>
      </c>
      <c r="G27" t="s">
        <v>152</v>
      </c>
      <c r="H27" t="s">
        <v>173</v>
      </c>
      <c r="J27" s="29" t="s">
        <v>162</v>
      </c>
      <c r="K27" t="s">
        <v>110</v>
      </c>
    </row>
    <row r="28" spans="1:11" ht="51">
      <c r="A28" t="s">
        <v>174</v>
      </c>
      <c r="B28">
        <v>0.25</v>
      </c>
      <c r="C28">
        <v>0.25</v>
      </c>
      <c r="D28">
        <v>0.25</v>
      </c>
      <c r="E28">
        <v>3544672</v>
      </c>
      <c r="F28" t="s">
        <v>106</v>
      </c>
      <c r="G28" t="s">
        <v>152</v>
      </c>
      <c r="H28" t="s">
        <v>175</v>
      </c>
      <c r="J28" s="29" t="s">
        <v>176</v>
      </c>
      <c r="K28" t="s">
        <v>110</v>
      </c>
    </row>
    <row r="29" spans="1:11" ht="204">
      <c r="A29" t="s">
        <v>177</v>
      </c>
      <c r="B29">
        <v>4.2</v>
      </c>
      <c r="C29">
        <v>1.79</v>
      </c>
      <c r="D29">
        <v>10.86</v>
      </c>
      <c r="F29" t="s">
        <v>178</v>
      </c>
      <c r="G29" t="s">
        <v>179</v>
      </c>
      <c r="H29" t="s">
        <v>180</v>
      </c>
      <c r="J29" s="29" t="s">
        <v>181</v>
      </c>
      <c r="K29" t="s">
        <v>110</v>
      </c>
    </row>
    <row r="30" spans="1:11" ht="51">
      <c r="A30" t="s">
        <v>182</v>
      </c>
      <c r="B30">
        <v>4.2</v>
      </c>
      <c r="C30">
        <v>1.68</v>
      </c>
      <c r="D30">
        <v>10.5</v>
      </c>
      <c r="F30" t="s">
        <v>178</v>
      </c>
      <c r="G30" t="s">
        <v>179</v>
      </c>
      <c r="H30" t="s">
        <v>183</v>
      </c>
      <c r="J30" s="29" t="s">
        <v>184</v>
      </c>
      <c r="K30" t="s">
        <v>110</v>
      </c>
    </row>
    <row r="31" spans="1:11" ht="51">
      <c r="A31" t="s">
        <v>185</v>
      </c>
      <c r="B31">
        <v>2.2599999999999998</v>
      </c>
      <c r="C31">
        <v>1.05</v>
      </c>
      <c r="D31">
        <v>4.8899999999999997</v>
      </c>
      <c r="F31" t="s">
        <v>115</v>
      </c>
      <c r="G31" t="s">
        <v>179</v>
      </c>
      <c r="H31" t="s">
        <v>186</v>
      </c>
      <c r="J31" s="29" t="s">
        <v>187</v>
      </c>
      <c r="K31" t="s">
        <v>110</v>
      </c>
    </row>
    <row r="32" spans="1:11" ht="51">
      <c r="A32" t="s">
        <v>188</v>
      </c>
      <c r="B32">
        <v>3.54</v>
      </c>
      <c r="C32">
        <v>1.2</v>
      </c>
      <c r="D32">
        <v>10.4</v>
      </c>
      <c r="F32" t="s">
        <v>115</v>
      </c>
      <c r="G32" t="s">
        <v>179</v>
      </c>
      <c r="H32" t="s">
        <v>189</v>
      </c>
      <c r="J32" s="29" t="s">
        <v>190</v>
      </c>
      <c r="K32" t="s">
        <v>110</v>
      </c>
    </row>
    <row r="33" spans="1:11" ht="51">
      <c r="A33" t="s">
        <v>191</v>
      </c>
      <c r="B33">
        <v>5.68</v>
      </c>
      <c r="C33">
        <v>4.38</v>
      </c>
      <c r="D33">
        <v>7.36</v>
      </c>
      <c r="F33" t="s">
        <v>115</v>
      </c>
      <c r="G33" t="s">
        <v>179</v>
      </c>
      <c r="H33" t="s">
        <v>192</v>
      </c>
      <c r="J33" s="29" t="s">
        <v>193</v>
      </c>
      <c r="K33" t="s">
        <v>110</v>
      </c>
    </row>
    <row r="34" spans="1:11" ht="51">
      <c r="A34" t="s">
        <v>194</v>
      </c>
      <c r="B34">
        <v>3.74</v>
      </c>
      <c r="C34">
        <v>2.79</v>
      </c>
      <c r="D34">
        <v>4.8099999999999996</v>
      </c>
      <c r="F34" t="s">
        <v>115</v>
      </c>
      <c r="G34" t="s">
        <v>179</v>
      </c>
      <c r="H34" t="s">
        <v>195</v>
      </c>
      <c r="J34" s="29" t="s">
        <v>196</v>
      </c>
      <c r="K34" t="s">
        <v>110</v>
      </c>
    </row>
    <row r="35" spans="1:11" ht="33.950000000000003">
      <c r="A35" t="s">
        <v>197</v>
      </c>
      <c r="B35">
        <v>2.2799999999999998</v>
      </c>
      <c r="C35">
        <v>1.87</v>
      </c>
      <c r="D35">
        <v>2.79</v>
      </c>
      <c r="F35" t="s">
        <v>115</v>
      </c>
      <c r="G35" t="s">
        <v>179</v>
      </c>
      <c r="H35" t="s">
        <v>198</v>
      </c>
      <c r="J35" s="29" t="s">
        <v>199</v>
      </c>
      <c r="K35" t="s">
        <v>110</v>
      </c>
    </row>
    <row r="36" spans="1:11" ht="33.950000000000003">
      <c r="A36" t="s">
        <v>200</v>
      </c>
      <c r="B36">
        <v>3.17</v>
      </c>
      <c r="C36">
        <v>2.48</v>
      </c>
      <c r="D36">
        <v>4.04</v>
      </c>
      <c r="F36" t="s">
        <v>115</v>
      </c>
      <c r="G36" t="s">
        <v>179</v>
      </c>
      <c r="H36" t="s">
        <v>201</v>
      </c>
      <c r="J36" s="29" t="s">
        <v>199</v>
      </c>
      <c r="K36" t="s">
        <v>110</v>
      </c>
    </row>
    <row r="37" spans="1:11" ht="51">
      <c r="A37" t="s">
        <v>202</v>
      </c>
      <c r="B37">
        <v>1.59</v>
      </c>
      <c r="C37">
        <v>1.3</v>
      </c>
      <c r="D37">
        <v>1.93</v>
      </c>
      <c r="F37" t="s">
        <v>115</v>
      </c>
      <c r="G37" t="s">
        <v>179</v>
      </c>
      <c r="H37" t="s">
        <v>203</v>
      </c>
      <c r="J37" s="29" t="s">
        <v>204</v>
      </c>
      <c r="K37" t="s">
        <v>110</v>
      </c>
    </row>
    <row r="38" spans="1:11" ht="51">
      <c r="A38" t="s">
        <v>205</v>
      </c>
      <c r="B38">
        <v>2.5</v>
      </c>
      <c r="C38">
        <v>1.1000000000000001</v>
      </c>
      <c r="D38">
        <v>5.6</v>
      </c>
      <c r="F38" t="s">
        <v>115</v>
      </c>
      <c r="G38" t="s">
        <v>179</v>
      </c>
      <c r="H38" t="s">
        <v>206</v>
      </c>
      <c r="J38" s="29" t="s">
        <v>207</v>
      </c>
      <c r="K38" t="s">
        <v>110</v>
      </c>
    </row>
    <row r="39" spans="1:11" ht="33.950000000000003">
      <c r="A39" t="s">
        <v>208</v>
      </c>
      <c r="B39">
        <v>0.74</v>
      </c>
      <c r="C39">
        <v>0.65</v>
      </c>
      <c r="D39">
        <v>0.82</v>
      </c>
      <c r="F39" t="s">
        <v>106</v>
      </c>
      <c r="G39" t="s">
        <v>209</v>
      </c>
      <c r="H39" t="s">
        <v>210</v>
      </c>
      <c r="J39" s="29" t="s">
        <v>211</v>
      </c>
      <c r="K39" t="s">
        <v>110</v>
      </c>
    </row>
    <row r="40" spans="1:11" ht="33.950000000000003">
      <c r="A40" t="s">
        <v>212</v>
      </c>
      <c r="B40">
        <v>0.77</v>
      </c>
      <c r="C40">
        <v>0.69</v>
      </c>
      <c r="D40">
        <v>0.84</v>
      </c>
      <c r="F40" t="s">
        <v>106</v>
      </c>
      <c r="G40" t="s">
        <v>209</v>
      </c>
      <c r="H40" t="s">
        <v>213</v>
      </c>
      <c r="J40" s="29" t="s">
        <v>211</v>
      </c>
      <c r="K40" t="s">
        <v>110</v>
      </c>
    </row>
    <row r="41" spans="1:11" ht="33.950000000000003">
      <c r="A41" t="s">
        <v>214</v>
      </c>
      <c r="B41">
        <v>0.87</v>
      </c>
      <c r="C41">
        <v>0.81699999999999995</v>
      </c>
      <c r="D41">
        <v>0.92300000000000004</v>
      </c>
      <c r="E41">
        <v>154</v>
      </c>
      <c r="F41" t="s">
        <v>106</v>
      </c>
      <c r="G41" t="s">
        <v>209</v>
      </c>
      <c r="H41" t="s">
        <v>215</v>
      </c>
      <c r="J41" s="29" t="s">
        <v>216</v>
      </c>
      <c r="K41" t="s">
        <v>110</v>
      </c>
    </row>
    <row r="42" spans="1:11" ht="33.950000000000003">
      <c r="A42" t="s">
        <v>217</v>
      </c>
      <c r="B42">
        <v>0.77400000000000002</v>
      </c>
      <c r="C42">
        <v>0.73899999999999999</v>
      </c>
      <c r="D42">
        <v>0.80900000000000005</v>
      </c>
      <c r="E42">
        <v>552</v>
      </c>
      <c r="F42" t="s">
        <v>106</v>
      </c>
      <c r="G42" t="s">
        <v>209</v>
      </c>
      <c r="H42" t="s">
        <v>218</v>
      </c>
      <c r="J42" s="29" t="s">
        <v>219</v>
      </c>
      <c r="K42" t="s">
        <v>110</v>
      </c>
    </row>
    <row r="43" spans="1:11" ht="33.950000000000003">
      <c r="A43" t="s">
        <v>220</v>
      </c>
      <c r="B43">
        <v>0.93899999999999995</v>
      </c>
      <c r="C43">
        <v>0.91900000000000004</v>
      </c>
      <c r="D43">
        <v>0.95899999999999996</v>
      </c>
      <c r="E43">
        <v>552</v>
      </c>
      <c r="F43" t="s">
        <v>106</v>
      </c>
      <c r="G43" t="s">
        <v>209</v>
      </c>
      <c r="H43" t="s">
        <v>221</v>
      </c>
      <c r="J43" s="29" t="s">
        <v>219</v>
      </c>
      <c r="K43" t="s">
        <v>110</v>
      </c>
    </row>
    <row r="44" spans="1:11" ht="33.950000000000003">
      <c r="A44" t="s">
        <v>222</v>
      </c>
      <c r="B44">
        <v>0.53</v>
      </c>
      <c r="F44" t="s">
        <v>223</v>
      </c>
      <c r="G44" t="s">
        <v>224</v>
      </c>
      <c r="H44" t="s">
        <v>225</v>
      </c>
      <c r="J44" s="29" t="s">
        <v>226</v>
      </c>
      <c r="K44" t="s">
        <v>227</v>
      </c>
    </row>
    <row r="45" spans="1:11" ht="33.950000000000003">
      <c r="A45" t="s">
        <v>228</v>
      </c>
      <c r="B45">
        <v>0.38</v>
      </c>
      <c r="F45" t="s">
        <v>223</v>
      </c>
      <c r="G45" t="s">
        <v>224</v>
      </c>
      <c r="H45" t="s">
        <v>229</v>
      </c>
      <c r="J45" s="29" t="s">
        <v>226</v>
      </c>
      <c r="K45" t="s">
        <v>227</v>
      </c>
    </row>
    <row r="46" spans="1:11" ht="33.950000000000003">
      <c r="A46" t="s">
        <v>230</v>
      </c>
      <c r="B46">
        <v>0.28000000000000003</v>
      </c>
      <c r="C46">
        <v>0.14000000000000001</v>
      </c>
      <c r="D46">
        <v>0.56000000000000005</v>
      </c>
      <c r="E46">
        <v>580</v>
      </c>
      <c r="F46" t="s">
        <v>115</v>
      </c>
      <c r="G46" t="s">
        <v>224</v>
      </c>
      <c r="H46" t="s">
        <v>231</v>
      </c>
      <c r="J46" s="29" t="s">
        <v>232</v>
      </c>
      <c r="K46" t="s">
        <v>227</v>
      </c>
    </row>
    <row r="47" spans="1:11" ht="33.950000000000003">
      <c r="A47" t="s">
        <v>233</v>
      </c>
      <c r="B47">
        <v>0.24</v>
      </c>
      <c r="C47">
        <v>0.13</v>
      </c>
      <c r="D47">
        <v>0.44</v>
      </c>
      <c r="E47">
        <v>2063</v>
      </c>
      <c r="F47" t="s">
        <v>178</v>
      </c>
      <c r="G47" t="s">
        <v>224</v>
      </c>
      <c r="H47" t="s">
        <v>234</v>
      </c>
      <c r="J47" s="29" t="s">
        <v>235</v>
      </c>
      <c r="K47" t="s">
        <v>227</v>
      </c>
    </row>
    <row r="48" spans="1:11" ht="33.950000000000003">
      <c r="A48" t="s">
        <v>236</v>
      </c>
      <c r="B48">
        <v>0.51</v>
      </c>
      <c r="C48">
        <v>0.44</v>
      </c>
      <c r="D48">
        <v>0.6</v>
      </c>
      <c r="F48" t="s">
        <v>178</v>
      </c>
      <c r="G48" t="s">
        <v>237</v>
      </c>
      <c r="H48" t="s">
        <v>238</v>
      </c>
      <c r="J48" s="29" t="s">
        <v>239</v>
      </c>
      <c r="K48" t="s">
        <v>227</v>
      </c>
    </row>
    <row r="49" spans="1:12" ht="84.95">
      <c r="A49" t="s">
        <v>240</v>
      </c>
      <c r="B49">
        <v>0.3</v>
      </c>
      <c r="C49">
        <v>0.20300000000000001</v>
      </c>
      <c r="D49">
        <v>0.39700000000000002</v>
      </c>
      <c r="E49">
        <v>86</v>
      </c>
      <c r="F49" t="s">
        <v>106</v>
      </c>
      <c r="G49" t="s">
        <v>237</v>
      </c>
      <c r="H49" t="s">
        <v>241</v>
      </c>
      <c r="J49" s="29" t="s">
        <v>242</v>
      </c>
      <c r="K49" t="s">
        <v>227</v>
      </c>
    </row>
    <row r="50" spans="1:12" ht="51">
      <c r="A50" t="s">
        <v>243</v>
      </c>
      <c r="B50">
        <v>0.41</v>
      </c>
      <c r="C50">
        <v>0.28999999999999998</v>
      </c>
      <c r="D50">
        <v>0.57999999999999996</v>
      </c>
      <c r="E50">
        <v>11444</v>
      </c>
      <c r="F50" t="s">
        <v>178</v>
      </c>
      <c r="G50" t="s">
        <v>237</v>
      </c>
      <c r="H50" t="s">
        <v>244</v>
      </c>
      <c r="J50" s="29" t="s">
        <v>245</v>
      </c>
      <c r="K50" t="s">
        <v>227</v>
      </c>
    </row>
    <row r="51" spans="1:12" ht="68.099999999999994">
      <c r="A51" t="s">
        <v>246</v>
      </c>
      <c r="B51">
        <v>0.67</v>
      </c>
      <c r="C51">
        <v>0.56000000000000005</v>
      </c>
      <c r="D51">
        <v>0.79</v>
      </c>
      <c r="E51">
        <v>14590</v>
      </c>
      <c r="F51" t="s">
        <v>178</v>
      </c>
      <c r="G51" t="s">
        <v>237</v>
      </c>
      <c r="H51" t="s">
        <v>247</v>
      </c>
      <c r="J51" s="29" t="s">
        <v>248</v>
      </c>
      <c r="K51" t="s">
        <v>227</v>
      </c>
    </row>
    <row r="52" spans="1:12" ht="33.950000000000003">
      <c r="A52" t="s">
        <v>249</v>
      </c>
      <c r="B52">
        <v>0.91</v>
      </c>
      <c r="C52">
        <v>0.82699999999999996</v>
      </c>
      <c r="D52">
        <v>0.99299999999999999</v>
      </c>
      <c r="E52">
        <v>46</v>
      </c>
      <c r="F52" t="s">
        <v>106</v>
      </c>
      <c r="G52" t="s">
        <v>237</v>
      </c>
      <c r="H52" t="s">
        <v>250</v>
      </c>
      <c r="J52" s="29" t="s">
        <v>251</v>
      </c>
      <c r="K52" t="s">
        <v>227</v>
      </c>
    </row>
    <row r="53" spans="1:12">
      <c r="A53" t="s">
        <v>252</v>
      </c>
      <c r="B53">
        <v>0.89</v>
      </c>
      <c r="G53" t="s">
        <v>253</v>
      </c>
      <c r="H53" t="s">
        <v>254</v>
      </c>
      <c r="K53" t="s">
        <v>227</v>
      </c>
    </row>
    <row r="54" spans="1:12">
      <c r="A54" t="s">
        <v>255</v>
      </c>
      <c r="B54">
        <v>0.87</v>
      </c>
      <c r="G54" t="s">
        <v>253</v>
      </c>
      <c r="H54" t="s">
        <v>256</v>
      </c>
      <c r="K54" t="s">
        <v>227</v>
      </c>
    </row>
    <row r="55" spans="1:12">
      <c r="A55" t="s">
        <v>257</v>
      </c>
      <c r="B55">
        <v>1.38</v>
      </c>
      <c r="G55" t="s">
        <v>253</v>
      </c>
      <c r="H55" t="s">
        <v>258</v>
      </c>
      <c r="K55" t="s">
        <v>227</v>
      </c>
    </row>
    <row r="56" spans="1:12">
      <c r="A56" t="s">
        <v>259</v>
      </c>
      <c r="B56">
        <v>0.95</v>
      </c>
      <c r="G56" t="s">
        <v>253</v>
      </c>
      <c r="H56" t="s">
        <v>260</v>
      </c>
      <c r="K56" t="s">
        <v>227</v>
      </c>
    </row>
    <row r="57" spans="1:12">
      <c r="A57" t="s">
        <v>261</v>
      </c>
      <c r="B57">
        <v>0.63100000000000001</v>
      </c>
      <c r="G57" t="s">
        <v>253</v>
      </c>
      <c r="H57" t="s">
        <v>262</v>
      </c>
      <c r="K57" t="s">
        <v>227</v>
      </c>
    </row>
    <row r="58" spans="1:12">
      <c r="A58" t="s">
        <v>263</v>
      </c>
      <c r="B58">
        <v>0.3</v>
      </c>
      <c r="G58" t="s">
        <v>253</v>
      </c>
      <c r="H58" t="s">
        <v>264</v>
      </c>
      <c r="K58" t="s">
        <v>227</v>
      </c>
    </row>
    <row r="59" spans="1:12" ht="119.1">
      <c r="A59" t="s">
        <v>265</v>
      </c>
      <c r="B59">
        <v>0.84</v>
      </c>
      <c r="C59">
        <v>0.79800000000000004</v>
      </c>
      <c r="D59">
        <v>0.89200000000000002</v>
      </c>
      <c r="E59">
        <v>226</v>
      </c>
      <c r="F59" t="s">
        <v>106</v>
      </c>
      <c r="G59" t="s">
        <v>266</v>
      </c>
      <c r="H59" t="s">
        <v>267</v>
      </c>
      <c r="I59" s="29" t="s">
        <v>268</v>
      </c>
      <c r="J59" s="29" t="s">
        <v>269</v>
      </c>
      <c r="K59" t="s">
        <v>227</v>
      </c>
    </row>
    <row r="60" spans="1:12" ht="135.94999999999999">
      <c r="A60" t="s">
        <v>270</v>
      </c>
      <c r="B60">
        <v>0.32500000000000001</v>
      </c>
      <c r="C60">
        <v>0.309</v>
      </c>
      <c r="D60">
        <v>0.34100000000000003</v>
      </c>
      <c r="E60">
        <v>3349</v>
      </c>
      <c r="F60" t="s">
        <v>106</v>
      </c>
      <c r="G60" t="s">
        <v>266</v>
      </c>
      <c r="H60" t="s">
        <v>271</v>
      </c>
      <c r="I60" s="29" t="s">
        <v>272</v>
      </c>
      <c r="J60" s="29" t="s">
        <v>273</v>
      </c>
      <c r="K60" t="s">
        <v>227</v>
      </c>
    </row>
    <row r="61" spans="1:12" ht="33.950000000000003">
      <c r="A61" t="s">
        <v>274</v>
      </c>
      <c r="B61">
        <v>2.17</v>
      </c>
      <c r="E61">
        <v>3278</v>
      </c>
      <c r="F61" t="s">
        <v>115</v>
      </c>
      <c r="G61" t="s">
        <v>266</v>
      </c>
      <c r="H61" t="s">
        <v>275</v>
      </c>
      <c r="I61" s="29" t="s">
        <v>276</v>
      </c>
      <c r="J61" s="29" t="s">
        <v>277</v>
      </c>
      <c r="K61" t="s">
        <v>227</v>
      </c>
    </row>
    <row r="62" spans="1:12">
      <c r="A62" t="s">
        <v>278</v>
      </c>
      <c r="B62">
        <v>1104</v>
      </c>
      <c r="H62" t="s">
        <v>279</v>
      </c>
      <c r="K62" t="s">
        <v>280</v>
      </c>
      <c r="L62">
        <v>0</v>
      </c>
    </row>
    <row r="63" spans="1:12">
      <c r="A63" t="s">
        <v>278</v>
      </c>
      <c r="B63">
        <v>625</v>
      </c>
      <c r="H63" t="s">
        <v>281</v>
      </c>
      <c r="K63" t="s">
        <v>280</v>
      </c>
      <c r="L63">
        <v>1</v>
      </c>
    </row>
    <row r="64" spans="1:12">
      <c r="A64" t="s">
        <v>278</v>
      </c>
      <c r="B64">
        <v>853</v>
      </c>
      <c r="H64" t="s">
        <v>282</v>
      </c>
      <c r="K64" t="s">
        <v>280</v>
      </c>
      <c r="L64">
        <v>2</v>
      </c>
    </row>
    <row r="65" spans="1:12">
      <c r="A65" t="s">
        <v>278</v>
      </c>
      <c r="B65">
        <v>1269</v>
      </c>
      <c r="H65" t="s">
        <v>283</v>
      </c>
      <c r="K65" t="s">
        <v>280</v>
      </c>
      <c r="L65">
        <v>3</v>
      </c>
    </row>
    <row r="66" spans="1:12">
      <c r="A66" t="s">
        <v>278</v>
      </c>
      <c r="B66">
        <v>1707</v>
      </c>
      <c r="H66" t="s">
        <v>284</v>
      </c>
      <c r="K66" t="s">
        <v>280</v>
      </c>
      <c r="L66">
        <v>4</v>
      </c>
    </row>
    <row r="67" spans="1:12">
      <c r="A67" t="s">
        <v>278</v>
      </c>
      <c r="B67">
        <v>2479</v>
      </c>
      <c r="H67" t="s">
        <v>285</v>
      </c>
      <c r="K67" t="s">
        <v>280</v>
      </c>
      <c r="L67">
        <v>5</v>
      </c>
    </row>
    <row r="68" spans="1:12">
      <c r="A68" t="s">
        <v>278</v>
      </c>
      <c r="B68">
        <v>3584</v>
      </c>
      <c r="H68" t="s">
        <v>286</v>
      </c>
      <c r="K68" t="s">
        <v>280</v>
      </c>
      <c r="L68">
        <v>6</v>
      </c>
    </row>
    <row r="69" spans="1:12">
      <c r="A69" t="s">
        <v>278</v>
      </c>
      <c r="B69">
        <v>5790</v>
      </c>
      <c r="H69" t="s">
        <v>287</v>
      </c>
      <c r="K69" t="s">
        <v>280</v>
      </c>
      <c r="L69">
        <v>7</v>
      </c>
    </row>
    <row r="70" spans="1:12">
      <c r="A70" t="s">
        <v>278</v>
      </c>
      <c r="B70">
        <v>10109</v>
      </c>
      <c r="H70" t="s">
        <v>288</v>
      </c>
      <c r="K70" t="s">
        <v>280</v>
      </c>
      <c r="L70">
        <v>8</v>
      </c>
    </row>
    <row r="71" spans="1:12">
      <c r="A71" t="s">
        <v>278</v>
      </c>
      <c r="B71">
        <v>15665</v>
      </c>
      <c r="H71" t="s">
        <v>289</v>
      </c>
      <c r="K71" t="s">
        <v>280</v>
      </c>
      <c r="L71">
        <v>9</v>
      </c>
    </row>
    <row r="72" spans="1:12">
      <c r="A72" t="s">
        <v>278</v>
      </c>
      <c r="B72">
        <v>23644</v>
      </c>
      <c r="H72" t="s">
        <v>290</v>
      </c>
      <c r="K72" t="s">
        <v>280</v>
      </c>
      <c r="L72">
        <v>10</v>
      </c>
    </row>
    <row r="73" spans="1:12">
      <c r="A73" t="s">
        <v>278</v>
      </c>
      <c r="B73">
        <v>33812</v>
      </c>
      <c r="H73" t="s">
        <v>291</v>
      </c>
      <c r="K73" t="s">
        <v>280</v>
      </c>
      <c r="L73">
        <v>11</v>
      </c>
    </row>
    <row r="74" spans="1:12">
      <c r="A74" t="s">
        <v>278</v>
      </c>
      <c r="B74">
        <v>45770</v>
      </c>
      <c r="H74" t="s">
        <v>292</v>
      </c>
      <c r="K74" t="s">
        <v>280</v>
      </c>
      <c r="L74">
        <v>12</v>
      </c>
    </row>
    <row r="75" spans="1:12">
      <c r="A75" t="s">
        <v>278</v>
      </c>
      <c r="B75">
        <v>40159</v>
      </c>
      <c r="H75" t="s">
        <v>293</v>
      </c>
      <c r="K75" t="s">
        <v>280</v>
      </c>
      <c r="L75">
        <v>13</v>
      </c>
    </row>
    <row r="76" spans="1:12">
      <c r="A76" t="s">
        <v>278</v>
      </c>
      <c r="B76">
        <v>23973</v>
      </c>
      <c r="H76" t="s">
        <v>294</v>
      </c>
      <c r="K76" t="s">
        <v>280</v>
      </c>
      <c r="L76">
        <v>14</v>
      </c>
    </row>
    <row r="77" spans="1:12">
      <c r="A77" t="s">
        <v>278</v>
      </c>
      <c r="B77">
        <v>12425</v>
      </c>
      <c r="H77" t="s">
        <v>295</v>
      </c>
      <c r="K77" t="s">
        <v>280</v>
      </c>
      <c r="L77">
        <v>15</v>
      </c>
    </row>
    <row r="78" spans="1:12">
      <c r="A78" t="s">
        <v>278</v>
      </c>
      <c r="B78">
        <v>6117</v>
      </c>
      <c r="H78" t="s">
        <v>296</v>
      </c>
      <c r="K78" t="s">
        <v>280</v>
      </c>
      <c r="L78">
        <v>16</v>
      </c>
    </row>
    <row r="79" spans="1:12">
      <c r="A79" t="s">
        <v>278</v>
      </c>
      <c r="B79">
        <v>3378</v>
      </c>
      <c r="H79" t="s">
        <v>297</v>
      </c>
      <c r="K79" t="s">
        <v>280</v>
      </c>
      <c r="L79">
        <v>17</v>
      </c>
    </row>
    <row r="80" spans="1:12">
      <c r="A80" t="s">
        <v>298</v>
      </c>
      <c r="B80">
        <v>2.8432700000000002E-3</v>
      </c>
      <c r="H80" t="s">
        <v>299</v>
      </c>
      <c r="K80" t="s">
        <v>280</v>
      </c>
      <c r="L80">
        <v>0</v>
      </c>
    </row>
    <row r="81" spans="1:12">
      <c r="A81" t="s">
        <v>298</v>
      </c>
      <c r="B81">
        <v>1.6096400000000001E-3</v>
      </c>
      <c r="H81" t="s">
        <v>300</v>
      </c>
      <c r="K81" t="s">
        <v>280</v>
      </c>
      <c r="L81">
        <v>1</v>
      </c>
    </row>
    <row r="82" spans="1:12">
      <c r="A82" t="s">
        <v>298</v>
      </c>
      <c r="B82">
        <v>2.1968399999999998E-3</v>
      </c>
      <c r="H82" t="s">
        <v>301</v>
      </c>
      <c r="K82" t="s">
        <v>280</v>
      </c>
      <c r="L82">
        <v>2</v>
      </c>
    </row>
    <row r="83" spans="1:12">
      <c r="A83" t="s">
        <v>298</v>
      </c>
      <c r="B83">
        <v>3.2682200000000001E-3</v>
      </c>
      <c r="H83" t="s">
        <v>302</v>
      </c>
      <c r="K83" t="s">
        <v>280</v>
      </c>
      <c r="L83">
        <v>3</v>
      </c>
    </row>
    <row r="84" spans="1:12">
      <c r="A84" t="s">
        <v>298</v>
      </c>
      <c r="B84">
        <v>4.39625E-3</v>
      </c>
      <c r="H84" t="s">
        <v>303</v>
      </c>
      <c r="K84" t="s">
        <v>280</v>
      </c>
      <c r="L84">
        <v>4</v>
      </c>
    </row>
    <row r="85" spans="1:12">
      <c r="A85" t="s">
        <v>298</v>
      </c>
      <c r="B85">
        <v>6.3844799999999997E-3</v>
      </c>
      <c r="H85" t="s">
        <v>304</v>
      </c>
      <c r="K85" t="s">
        <v>280</v>
      </c>
      <c r="L85">
        <v>5</v>
      </c>
    </row>
    <row r="86" spans="1:12">
      <c r="A86" t="s">
        <v>298</v>
      </c>
      <c r="B86">
        <v>9.2303300000000001E-3</v>
      </c>
      <c r="H86" t="s">
        <v>305</v>
      </c>
      <c r="K86" t="s">
        <v>280</v>
      </c>
      <c r="L86">
        <v>6</v>
      </c>
    </row>
    <row r="87" spans="1:12">
      <c r="A87" t="s">
        <v>298</v>
      </c>
      <c r="B87">
        <v>1.491172E-2</v>
      </c>
      <c r="H87" t="s">
        <v>306</v>
      </c>
      <c r="K87" t="s">
        <v>280</v>
      </c>
      <c r="L87">
        <v>7</v>
      </c>
    </row>
    <row r="88" spans="1:12">
      <c r="A88" t="s">
        <v>298</v>
      </c>
      <c r="B88">
        <v>2.6034990000000001E-2</v>
      </c>
      <c r="H88" t="s">
        <v>307</v>
      </c>
      <c r="K88" t="s">
        <v>280</v>
      </c>
      <c r="L88">
        <v>8</v>
      </c>
    </row>
    <row r="89" spans="1:12">
      <c r="A89" t="s">
        <v>298</v>
      </c>
      <c r="B89">
        <v>4.0344060000000001E-2</v>
      </c>
      <c r="H89" t="s">
        <v>308</v>
      </c>
      <c r="K89" t="s">
        <v>280</v>
      </c>
      <c r="L89">
        <v>9</v>
      </c>
    </row>
    <row r="90" spans="1:12">
      <c r="A90" t="s">
        <v>298</v>
      </c>
      <c r="B90">
        <v>0.11102357</v>
      </c>
      <c r="H90" t="s">
        <v>309</v>
      </c>
      <c r="K90" t="s">
        <v>280</v>
      </c>
      <c r="L90">
        <v>10</v>
      </c>
    </row>
    <row r="91" spans="1:12">
      <c r="A91" t="s">
        <v>298</v>
      </c>
      <c r="B91">
        <v>0.15876878</v>
      </c>
      <c r="H91" t="s">
        <v>310</v>
      </c>
      <c r="K91" t="s">
        <v>280</v>
      </c>
      <c r="L91">
        <v>11</v>
      </c>
    </row>
    <row r="92" spans="1:12">
      <c r="A92" t="s">
        <v>298</v>
      </c>
      <c r="B92">
        <v>0.21491916999999999</v>
      </c>
      <c r="H92" t="s">
        <v>311</v>
      </c>
      <c r="K92" t="s">
        <v>280</v>
      </c>
      <c r="L92">
        <v>12</v>
      </c>
    </row>
    <row r="93" spans="1:12">
      <c r="A93" t="s">
        <v>298</v>
      </c>
      <c r="B93">
        <v>0.18857196000000001</v>
      </c>
      <c r="H93" t="s">
        <v>312</v>
      </c>
      <c r="K93" t="s">
        <v>280</v>
      </c>
      <c r="L93">
        <v>13</v>
      </c>
    </row>
    <row r="94" spans="1:12">
      <c r="A94" t="s">
        <v>298</v>
      </c>
      <c r="B94">
        <v>0.11256843</v>
      </c>
      <c r="H94" t="s">
        <v>313</v>
      </c>
      <c r="K94" t="s">
        <v>280</v>
      </c>
      <c r="L94">
        <v>14</v>
      </c>
    </row>
    <row r="95" spans="1:12">
      <c r="A95" t="s">
        <v>298</v>
      </c>
      <c r="B95">
        <v>5.8343249999999999E-2</v>
      </c>
      <c r="H95" t="s">
        <v>314</v>
      </c>
      <c r="K95" t="s">
        <v>280</v>
      </c>
      <c r="L95">
        <v>15</v>
      </c>
    </row>
    <row r="96" spans="1:12">
      <c r="A96" t="s">
        <v>298</v>
      </c>
      <c r="B96">
        <v>2.8723189999999999E-2</v>
      </c>
      <c r="H96" t="s">
        <v>315</v>
      </c>
      <c r="K96" t="s">
        <v>280</v>
      </c>
      <c r="L96">
        <v>16</v>
      </c>
    </row>
    <row r="97" spans="1:12">
      <c r="A97" t="s">
        <v>298</v>
      </c>
      <c r="B97">
        <v>1.586185E-2</v>
      </c>
      <c r="H97" t="s">
        <v>316</v>
      </c>
      <c r="K97" t="s">
        <v>280</v>
      </c>
      <c r="L97">
        <v>17</v>
      </c>
    </row>
    <row r="98" spans="1:12">
      <c r="A98" t="s">
        <v>317</v>
      </c>
      <c r="B98">
        <v>5.2865200000000003E-3</v>
      </c>
      <c r="H98" t="s">
        <v>318</v>
      </c>
      <c r="K98" t="s">
        <v>280</v>
      </c>
      <c r="L98">
        <v>0</v>
      </c>
    </row>
    <row r="99" spans="1:12">
      <c r="A99" t="s">
        <v>317</v>
      </c>
      <c r="B99">
        <v>2.9928200000000002E-3</v>
      </c>
      <c r="H99" t="s">
        <v>319</v>
      </c>
      <c r="K99" t="s">
        <v>280</v>
      </c>
      <c r="L99">
        <v>1</v>
      </c>
    </row>
    <row r="100" spans="1:12">
      <c r="A100" t="s">
        <v>317</v>
      </c>
      <c r="B100">
        <v>4.0845999999999999E-3</v>
      </c>
      <c r="H100" t="s">
        <v>320</v>
      </c>
      <c r="K100" t="s">
        <v>280</v>
      </c>
      <c r="L100">
        <v>2</v>
      </c>
    </row>
    <row r="101" spans="1:12">
      <c r="A101" t="s">
        <v>317</v>
      </c>
      <c r="B101">
        <v>6.0766199999999996E-3</v>
      </c>
      <c r="H101" t="s">
        <v>321</v>
      </c>
      <c r="K101" t="s">
        <v>280</v>
      </c>
      <c r="L101">
        <v>3</v>
      </c>
    </row>
    <row r="102" spans="1:12">
      <c r="A102" t="s">
        <v>317</v>
      </c>
      <c r="B102">
        <v>8.1739900000000008E-3</v>
      </c>
      <c r="H102" t="s">
        <v>322</v>
      </c>
      <c r="K102" t="s">
        <v>280</v>
      </c>
      <c r="L102">
        <v>4</v>
      </c>
    </row>
    <row r="103" spans="1:12">
      <c r="A103" t="s">
        <v>317</v>
      </c>
      <c r="B103">
        <v>1.187072E-2</v>
      </c>
      <c r="H103" t="s">
        <v>323</v>
      </c>
      <c r="K103" t="s">
        <v>280</v>
      </c>
      <c r="L103">
        <v>5</v>
      </c>
    </row>
    <row r="104" spans="1:12">
      <c r="A104" t="s">
        <v>317</v>
      </c>
      <c r="B104">
        <v>1.7162030000000002E-2</v>
      </c>
      <c r="H104" t="s">
        <v>324</v>
      </c>
      <c r="K104" t="s">
        <v>280</v>
      </c>
      <c r="L104">
        <v>6</v>
      </c>
    </row>
    <row r="105" spans="1:12">
      <c r="A105" t="s">
        <v>317</v>
      </c>
      <c r="B105">
        <v>2.7725489999999998E-2</v>
      </c>
      <c r="H105" t="s">
        <v>325</v>
      </c>
      <c r="K105" t="s">
        <v>280</v>
      </c>
      <c r="L105">
        <v>7</v>
      </c>
    </row>
    <row r="106" spans="1:12">
      <c r="A106" t="s">
        <v>317</v>
      </c>
      <c r="B106">
        <v>4.8407079999999998E-2</v>
      </c>
      <c r="H106" t="s">
        <v>326</v>
      </c>
      <c r="K106" t="s">
        <v>280</v>
      </c>
      <c r="L106">
        <v>8</v>
      </c>
    </row>
    <row r="107" spans="1:12">
      <c r="A107" t="s">
        <v>317</v>
      </c>
      <c r="B107">
        <v>7.5012060000000005E-2</v>
      </c>
      <c r="H107" t="s">
        <v>327</v>
      </c>
      <c r="K107" t="s">
        <v>280</v>
      </c>
      <c r="L107">
        <v>9</v>
      </c>
    </row>
    <row r="108" spans="1:12">
      <c r="A108" t="s">
        <v>317</v>
      </c>
      <c r="B108">
        <v>9.9085000000000006E-2</v>
      </c>
      <c r="H108" t="s">
        <v>328</v>
      </c>
      <c r="K108" t="s">
        <v>280</v>
      </c>
      <c r="L108">
        <v>10</v>
      </c>
    </row>
    <row r="109" spans="1:12">
      <c r="A109" t="s">
        <v>317</v>
      </c>
      <c r="B109">
        <v>0.14169608</v>
      </c>
      <c r="H109" t="s">
        <v>329</v>
      </c>
      <c r="K109" t="s">
        <v>280</v>
      </c>
      <c r="L109">
        <v>11</v>
      </c>
    </row>
    <row r="110" spans="1:12">
      <c r="A110" t="s">
        <v>317</v>
      </c>
      <c r="B110">
        <v>0.19180852000000001</v>
      </c>
      <c r="H110" t="s">
        <v>330</v>
      </c>
      <c r="K110" t="s">
        <v>280</v>
      </c>
      <c r="L110">
        <v>12</v>
      </c>
    </row>
    <row r="111" spans="1:12">
      <c r="A111" t="s">
        <v>317</v>
      </c>
      <c r="B111">
        <v>0.16829448</v>
      </c>
      <c r="H111" t="s">
        <v>331</v>
      </c>
      <c r="K111" t="s">
        <v>280</v>
      </c>
      <c r="L111">
        <v>13</v>
      </c>
    </row>
    <row r="112" spans="1:12">
      <c r="A112" t="s">
        <v>317</v>
      </c>
      <c r="B112">
        <v>0.10046375</v>
      </c>
      <c r="H112" t="s">
        <v>332</v>
      </c>
      <c r="K112" t="s">
        <v>280</v>
      </c>
      <c r="L112">
        <v>14</v>
      </c>
    </row>
    <row r="113" spans="1:12">
      <c r="A113" t="s">
        <v>317</v>
      </c>
      <c r="B113">
        <v>5.2069499999999998E-2</v>
      </c>
      <c r="H113" t="s">
        <v>333</v>
      </c>
      <c r="K113" t="s">
        <v>280</v>
      </c>
      <c r="L113">
        <v>15</v>
      </c>
    </row>
    <row r="114" spans="1:12">
      <c r="A114" t="s">
        <v>317</v>
      </c>
      <c r="B114">
        <v>2.5634540000000001E-2</v>
      </c>
      <c r="H114" t="s">
        <v>334</v>
      </c>
      <c r="K114" t="s">
        <v>280</v>
      </c>
      <c r="L114">
        <v>16</v>
      </c>
    </row>
    <row r="115" spans="1:12">
      <c r="A115" t="s">
        <v>317</v>
      </c>
      <c r="B115">
        <v>1.4156200000000001E-2</v>
      </c>
      <c r="H115" t="s">
        <v>335</v>
      </c>
      <c r="K115" t="s">
        <v>280</v>
      </c>
      <c r="L115">
        <v>17</v>
      </c>
    </row>
    <row r="116" spans="1:12">
      <c r="A116" t="s">
        <v>336</v>
      </c>
      <c r="B116">
        <v>27</v>
      </c>
      <c r="H116" t="s">
        <v>337</v>
      </c>
      <c r="K116" t="s">
        <v>280</v>
      </c>
      <c r="L116">
        <v>0</v>
      </c>
    </row>
    <row r="117" spans="1:12">
      <c r="A117" t="s">
        <v>336</v>
      </c>
      <c r="B117">
        <v>28</v>
      </c>
      <c r="H117" t="s">
        <v>338</v>
      </c>
      <c r="K117" t="s">
        <v>280</v>
      </c>
      <c r="L117">
        <v>1</v>
      </c>
    </row>
    <row r="118" spans="1:12">
      <c r="A118" t="s">
        <v>336</v>
      </c>
      <c r="B118">
        <v>29</v>
      </c>
      <c r="H118" t="s">
        <v>338</v>
      </c>
      <c r="K118" t="s">
        <v>280</v>
      </c>
      <c r="L118">
        <v>2</v>
      </c>
    </row>
    <row r="119" spans="1:12">
      <c r="A119" t="s">
        <v>336</v>
      </c>
      <c r="B119">
        <v>30</v>
      </c>
      <c r="H119" t="s">
        <v>338</v>
      </c>
      <c r="K119" t="s">
        <v>280</v>
      </c>
      <c r="L119">
        <v>3</v>
      </c>
    </row>
    <row r="120" spans="1:12">
      <c r="A120" t="s">
        <v>336</v>
      </c>
      <c r="B120">
        <v>31</v>
      </c>
      <c r="H120" t="s">
        <v>338</v>
      </c>
      <c r="K120" t="s">
        <v>280</v>
      </c>
      <c r="L120">
        <v>4</v>
      </c>
    </row>
    <row r="121" spans="1:12">
      <c r="A121" t="s">
        <v>336</v>
      </c>
      <c r="B121">
        <v>32</v>
      </c>
      <c r="H121" t="s">
        <v>338</v>
      </c>
      <c r="K121" t="s">
        <v>280</v>
      </c>
      <c r="L121">
        <v>5</v>
      </c>
    </row>
    <row r="122" spans="1:12">
      <c r="A122" t="s">
        <v>336</v>
      </c>
      <c r="B122">
        <v>33</v>
      </c>
      <c r="H122" t="s">
        <v>338</v>
      </c>
      <c r="K122" t="s">
        <v>280</v>
      </c>
      <c r="L122">
        <v>6</v>
      </c>
    </row>
    <row r="123" spans="1:12">
      <c r="A123" t="s">
        <v>336</v>
      </c>
      <c r="B123">
        <v>34</v>
      </c>
      <c r="H123" t="s">
        <v>338</v>
      </c>
      <c r="K123" t="s">
        <v>280</v>
      </c>
      <c r="L123">
        <v>7</v>
      </c>
    </row>
    <row r="124" spans="1:12">
      <c r="A124" t="s">
        <v>336</v>
      </c>
      <c r="B124">
        <v>35</v>
      </c>
      <c r="H124" t="s">
        <v>338</v>
      </c>
      <c r="K124" t="s">
        <v>280</v>
      </c>
      <c r="L124">
        <v>8</v>
      </c>
    </row>
    <row r="125" spans="1:12">
      <c r="A125" t="s">
        <v>336</v>
      </c>
      <c r="B125">
        <v>36</v>
      </c>
      <c r="H125" t="s">
        <v>338</v>
      </c>
      <c r="K125" t="s">
        <v>280</v>
      </c>
      <c r="L125">
        <v>9</v>
      </c>
    </row>
    <row r="126" spans="1:12">
      <c r="A126" t="s">
        <v>336</v>
      </c>
      <c r="B126">
        <v>37</v>
      </c>
      <c r="H126" t="s">
        <v>338</v>
      </c>
      <c r="K126" t="s">
        <v>280</v>
      </c>
      <c r="L126">
        <v>10</v>
      </c>
    </row>
    <row r="127" spans="1:12">
      <c r="A127" t="s">
        <v>336</v>
      </c>
      <c r="B127">
        <v>38</v>
      </c>
      <c r="H127" t="s">
        <v>338</v>
      </c>
      <c r="K127" t="s">
        <v>280</v>
      </c>
      <c r="L127">
        <v>11</v>
      </c>
    </row>
    <row r="128" spans="1:12">
      <c r="A128" t="s">
        <v>336</v>
      </c>
      <c r="B128">
        <v>39</v>
      </c>
      <c r="H128" t="s">
        <v>338</v>
      </c>
      <c r="K128" t="s">
        <v>280</v>
      </c>
      <c r="L128">
        <v>12</v>
      </c>
    </row>
    <row r="129" spans="1:12">
      <c r="A129" t="s">
        <v>336</v>
      </c>
      <c r="B129">
        <v>40</v>
      </c>
      <c r="H129" t="s">
        <v>338</v>
      </c>
      <c r="K129" t="s">
        <v>280</v>
      </c>
      <c r="L129">
        <v>13</v>
      </c>
    </row>
    <row r="130" spans="1:12">
      <c r="A130" t="s">
        <v>336</v>
      </c>
      <c r="B130">
        <v>41</v>
      </c>
      <c r="H130" t="s">
        <v>338</v>
      </c>
      <c r="K130" t="s">
        <v>280</v>
      </c>
      <c r="L130">
        <v>14</v>
      </c>
    </row>
    <row r="131" spans="1:12">
      <c r="A131" t="s">
        <v>336</v>
      </c>
      <c r="B131">
        <v>42</v>
      </c>
      <c r="H131" t="s">
        <v>338</v>
      </c>
      <c r="K131" t="s">
        <v>280</v>
      </c>
      <c r="L131">
        <v>15</v>
      </c>
    </row>
    <row r="132" spans="1:12">
      <c r="A132" t="s">
        <v>336</v>
      </c>
      <c r="B132">
        <v>43</v>
      </c>
      <c r="H132" t="s">
        <v>338</v>
      </c>
      <c r="K132" t="s">
        <v>280</v>
      </c>
      <c r="L132">
        <v>16</v>
      </c>
    </row>
    <row r="133" spans="1:12">
      <c r="A133" t="s">
        <v>336</v>
      </c>
      <c r="B133">
        <v>44</v>
      </c>
      <c r="H133" t="s">
        <v>339</v>
      </c>
      <c r="K133" t="s">
        <v>280</v>
      </c>
      <c r="L133">
        <v>17</v>
      </c>
    </row>
    <row r="134" spans="1:12">
      <c r="A134" t="s">
        <v>340</v>
      </c>
      <c r="B134">
        <v>0.9</v>
      </c>
      <c r="H134" t="s">
        <v>341</v>
      </c>
      <c r="K134" t="s">
        <v>280</v>
      </c>
      <c r="L134">
        <v>0</v>
      </c>
    </row>
    <row r="135" spans="1:12">
      <c r="A135" t="s">
        <v>340</v>
      </c>
      <c r="B135">
        <v>0.6</v>
      </c>
      <c r="H135" t="s">
        <v>342</v>
      </c>
      <c r="K135" t="s">
        <v>280</v>
      </c>
      <c r="L135">
        <v>1</v>
      </c>
    </row>
    <row r="136" spans="1:12">
      <c r="A136" t="s">
        <v>340</v>
      </c>
      <c r="B136">
        <v>0.6</v>
      </c>
      <c r="H136" t="s">
        <v>343</v>
      </c>
      <c r="K136" t="s">
        <v>280</v>
      </c>
      <c r="L136">
        <v>2</v>
      </c>
    </row>
    <row r="137" spans="1:12">
      <c r="A137" t="s">
        <v>340</v>
      </c>
      <c r="B137">
        <v>0.6</v>
      </c>
      <c r="H137" t="s">
        <v>344</v>
      </c>
      <c r="K137" t="s">
        <v>280</v>
      </c>
      <c r="L137">
        <v>3</v>
      </c>
    </row>
    <row r="138" spans="1:12">
      <c r="A138" t="s">
        <v>340</v>
      </c>
      <c r="B138">
        <v>0.6</v>
      </c>
      <c r="H138" t="s">
        <v>345</v>
      </c>
      <c r="K138" t="s">
        <v>280</v>
      </c>
      <c r="L138">
        <v>4</v>
      </c>
    </row>
    <row r="139" spans="1:12">
      <c r="A139" t="s">
        <v>340</v>
      </c>
      <c r="B139">
        <v>0.4</v>
      </c>
      <c r="H139" t="s">
        <v>346</v>
      </c>
      <c r="K139" t="s">
        <v>280</v>
      </c>
      <c r="L139">
        <v>5</v>
      </c>
    </row>
    <row r="140" spans="1:12">
      <c r="A140" t="s">
        <v>340</v>
      </c>
      <c r="B140">
        <v>0.4</v>
      </c>
      <c r="H140" t="s">
        <v>347</v>
      </c>
      <c r="K140" t="s">
        <v>280</v>
      </c>
      <c r="L140">
        <v>6</v>
      </c>
    </row>
    <row r="141" spans="1:12">
      <c r="A141" t="s">
        <v>340</v>
      </c>
      <c r="B141">
        <v>0.4</v>
      </c>
      <c r="H141" t="s">
        <v>348</v>
      </c>
      <c r="K141" t="s">
        <v>280</v>
      </c>
      <c r="L141">
        <v>7</v>
      </c>
    </row>
    <row r="142" spans="1:12">
      <c r="A142" t="s">
        <v>340</v>
      </c>
      <c r="B142">
        <v>0.2</v>
      </c>
      <c r="H142" t="s">
        <v>349</v>
      </c>
      <c r="K142" t="s">
        <v>280</v>
      </c>
      <c r="L142">
        <v>8</v>
      </c>
    </row>
    <row r="143" spans="1:12">
      <c r="A143" t="s">
        <v>340</v>
      </c>
      <c r="B143">
        <v>0.2</v>
      </c>
      <c r="H143" t="s">
        <v>350</v>
      </c>
      <c r="K143" t="s">
        <v>280</v>
      </c>
      <c r="L143">
        <v>9</v>
      </c>
    </row>
    <row r="144" spans="1:12">
      <c r="A144" t="s">
        <v>340</v>
      </c>
      <c r="B144">
        <v>0</v>
      </c>
      <c r="H144" t="s">
        <v>351</v>
      </c>
      <c r="K144" t="s">
        <v>280</v>
      </c>
      <c r="L144">
        <v>10</v>
      </c>
    </row>
    <row r="145" spans="1:12">
      <c r="A145" t="s">
        <v>340</v>
      </c>
      <c r="B145">
        <v>0</v>
      </c>
      <c r="H145" t="s">
        <v>352</v>
      </c>
      <c r="K145" t="s">
        <v>280</v>
      </c>
      <c r="L145">
        <v>11</v>
      </c>
    </row>
    <row r="146" spans="1:12">
      <c r="A146" t="s">
        <v>340</v>
      </c>
      <c r="B146">
        <v>0</v>
      </c>
      <c r="H146" t="s">
        <v>353</v>
      </c>
      <c r="K146" t="s">
        <v>280</v>
      </c>
      <c r="L146">
        <v>12</v>
      </c>
    </row>
    <row r="147" spans="1:12">
      <c r="A147" t="s">
        <v>340</v>
      </c>
      <c r="B147">
        <v>0</v>
      </c>
      <c r="H147" t="s">
        <v>354</v>
      </c>
      <c r="K147" t="s">
        <v>280</v>
      </c>
      <c r="L147">
        <v>13</v>
      </c>
    </row>
    <row r="148" spans="1:12">
      <c r="A148" t="s">
        <v>340</v>
      </c>
      <c r="B148">
        <v>0</v>
      </c>
      <c r="H148" t="s">
        <v>355</v>
      </c>
      <c r="K148" t="s">
        <v>280</v>
      </c>
      <c r="L148">
        <v>14</v>
      </c>
    </row>
    <row r="149" spans="1:12">
      <c r="A149" t="s">
        <v>340</v>
      </c>
      <c r="B149">
        <v>0</v>
      </c>
      <c r="H149" t="s">
        <v>356</v>
      </c>
      <c r="K149" t="s">
        <v>280</v>
      </c>
      <c r="L149">
        <v>15</v>
      </c>
    </row>
    <row r="150" spans="1:12">
      <c r="A150" t="s">
        <v>340</v>
      </c>
      <c r="B150">
        <v>0</v>
      </c>
      <c r="H150" t="s">
        <v>357</v>
      </c>
      <c r="K150" t="s">
        <v>280</v>
      </c>
      <c r="L150">
        <v>16</v>
      </c>
    </row>
    <row r="151" spans="1:12">
      <c r="A151" t="s">
        <v>340</v>
      </c>
      <c r="B151">
        <v>0</v>
      </c>
      <c r="H151" t="s">
        <v>358</v>
      </c>
      <c r="K151" t="s">
        <v>280</v>
      </c>
      <c r="L151">
        <v>17</v>
      </c>
    </row>
    <row r="152" spans="1:12" ht="17.100000000000001">
      <c r="A152" t="s">
        <v>359</v>
      </c>
      <c r="B152">
        <v>0.39700000000000002</v>
      </c>
      <c r="H152" t="s">
        <v>360</v>
      </c>
      <c r="I152" s="29" t="s">
        <v>361</v>
      </c>
      <c r="K152" t="s">
        <v>280</v>
      </c>
      <c r="L152">
        <v>0</v>
      </c>
    </row>
    <row r="153" spans="1:12" ht="17.100000000000001">
      <c r="A153" t="s">
        <v>359</v>
      </c>
      <c r="B153">
        <v>0.2</v>
      </c>
      <c r="H153" t="s">
        <v>362</v>
      </c>
      <c r="I153" s="29" t="s">
        <v>361</v>
      </c>
      <c r="K153" t="s">
        <v>280</v>
      </c>
      <c r="L153">
        <v>1</v>
      </c>
    </row>
    <row r="154" spans="1:12">
      <c r="A154" t="s">
        <v>363</v>
      </c>
      <c r="B154">
        <v>5.7000000000000002E-2</v>
      </c>
      <c r="H154" t="s">
        <v>364</v>
      </c>
      <c r="K154" t="s">
        <v>280</v>
      </c>
      <c r="L154">
        <v>0</v>
      </c>
    </row>
    <row r="155" spans="1:12">
      <c r="A155" t="s">
        <v>363</v>
      </c>
      <c r="B155">
        <v>0.72899999999999998</v>
      </c>
      <c r="H155" t="s">
        <v>365</v>
      </c>
      <c r="K155" t="s">
        <v>280</v>
      </c>
      <c r="L155">
        <v>1</v>
      </c>
    </row>
    <row r="156" spans="1:12">
      <c r="A156" t="s">
        <v>366</v>
      </c>
      <c r="B156">
        <v>278</v>
      </c>
      <c r="H156" t="s">
        <v>367</v>
      </c>
      <c r="K156" t="s">
        <v>280</v>
      </c>
      <c r="L156">
        <v>0</v>
      </c>
    </row>
    <row r="157" spans="1:12">
      <c r="A157" t="s">
        <v>366</v>
      </c>
      <c r="B157">
        <v>80</v>
      </c>
      <c r="H157" t="s">
        <v>368</v>
      </c>
      <c r="K157" t="s">
        <v>280</v>
      </c>
      <c r="L157">
        <v>1</v>
      </c>
    </row>
    <row r="158" spans="1:12">
      <c r="A158" t="s">
        <v>369</v>
      </c>
      <c r="B158">
        <v>37.26</v>
      </c>
      <c r="H158" t="s">
        <v>370</v>
      </c>
      <c r="K158" t="s">
        <v>280</v>
      </c>
      <c r="L158">
        <v>0</v>
      </c>
    </row>
    <row r="159" spans="1:12">
      <c r="A159" t="s">
        <v>369</v>
      </c>
      <c r="B159">
        <v>14</v>
      </c>
      <c r="H159" t="s">
        <v>371</v>
      </c>
      <c r="K159" t="s">
        <v>280</v>
      </c>
      <c r="L159">
        <v>1</v>
      </c>
    </row>
    <row r="160" spans="1:12">
      <c r="A160" t="s">
        <v>372</v>
      </c>
      <c r="B160">
        <v>468</v>
      </c>
      <c r="H160" t="s">
        <v>373</v>
      </c>
      <c r="K160" t="s">
        <v>280</v>
      </c>
      <c r="L160">
        <v>0</v>
      </c>
    </row>
    <row r="161" spans="1:13">
      <c r="A161" t="s">
        <v>372</v>
      </c>
      <c r="B161">
        <v>167</v>
      </c>
      <c r="H161" t="s">
        <v>374</v>
      </c>
      <c r="K161" t="s">
        <v>280</v>
      </c>
      <c r="L161">
        <v>1</v>
      </c>
    </row>
    <row r="162" spans="1:13">
      <c r="A162" t="s">
        <v>375</v>
      </c>
      <c r="B162">
        <v>86</v>
      </c>
      <c r="H162" t="s">
        <v>376</v>
      </c>
      <c r="K162" t="s">
        <v>280</v>
      </c>
      <c r="L162">
        <v>0</v>
      </c>
    </row>
    <row r="163" spans="1:13">
      <c r="A163" t="s">
        <v>375</v>
      </c>
      <c r="B163">
        <v>49</v>
      </c>
      <c r="H163" t="s">
        <v>377</v>
      </c>
      <c r="K163" t="s">
        <v>280</v>
      </c>
      <c r="L163">
        <v>1</v>
      </c>
    </row>
    <row r="164" spans="1:13" ht="17.100000000000001">
      <c r="A164" t="s">
        <v>378</v>
      </c>
      <c r="B164">
        <v>1867283</v>
      </c>
      <c r="F164" t="s">
        <v>223</v>
      </c>
      <c r="H164" t="s">
        <v>379</v>
      </c>
      <c r="J164" s="29" t="s">
        <v>380</v>
      </c>
      <c r="K164" t="s">
        <v>39</v>
      </c>
      <c r="M164" t="s">
        <v>381</v>
      </c>
    </row>
    <row r="165" spans="1:13">
      <c r="A165" t="s">
        <v>378</v>
      </c>
      <c r="B165">
        <v>1266860</v>
      </c>
      <c r="F165" t="s">
        <v>223</v>
      </c>
      <c r="H165" t="s">
        <v>379</v>
      </c>
      <c r="K165" t="s">
        <v>39</v>
      </c>
      <c r="M165" t="s">
        <v>61</v>
      </c>
    </row>
    <row r="166" spans="1:13">
      <c r="A166" t="s">
        <v>378</v>
      </c>
      <c r="B166">
        <v>987653</v>
      </c>
      <c r="F166" t="s">
        <v>223</v>
      </c>
      <c r="H166" t="s">
        <v>379</v>
      </c>
      <c r="K166" t="s">
        <v>39</v>
      </c>
      <c r="M166" t="s">
        <v>64</v>
      </c>
    </row>
    <row r="167" spans="1:13">
      <c r="A167" t="s">
        <v>378</v>
      </c>
      <c r="B167">
        <v>1208333</v>
      </c>
      <c r="F167" t="s">
        <v>223</v>
      </c>
      <c r="H167" t="s">
        <v>379</v>
      </c>
      <c r="K167" t="s">
        <v>39</v>
      </c>
      <c r="M167" t="s">
        <v>65</v>
      </c>
    </row>
    <row r="168" spans="1:13" ht="51">
      <c r="A168" t="s">
        <v>382</v>
      </c>
      <c r="B168">
        <v>5040</v>
      </c>
      <c r="F168" t="s">
        <v>223</v>
      </c>
      <c r="H168" t="s">
        <v>383</v>
      </c>
      <c r="I168" s="29" t="s">
        <v>384</v>
      </c>
      <c r="J168" s="29" t="s">
        <v>66</v>
      </c>
      <c r="K168" t="s">
        <v>39</v>
      </c>
      <c r="M168" t="s">
        <v>381</v>
      </c>
    </row>
    <row r="169" spans="1:13" ht="51">
      <c r="A169" t="s">
        <v>382</v>
      </c>
      <c r="B169" t="s">
        <v>385</v>
      </c>
      <c r="F169" t="s">
        <v>223</v>
      </c>
      <c r="H169" t="s">
        <v>383</v>
      </c>
      <c r="I169" s="29" t="s">
        <v>384</v>
      </c>
      <c r="J169" s="29" t="s">
        <v>66</v>
      </c>
      <c r="K169" t="s">
        <v>39</v>
      </c>
      <c r="M169" t="s">
        <v>61</v>
      </c>
    </row>
    <row r="170" spans="1:13" ht="51">
      <c r="A170" t="s">
        <v>382</v>
      </c>
      <c r="B170" t="s">
        <v>385</v>
      </c>
      <c r="F170" t="s">
        <v>223</v>
      </c>
      <c r="H170" t="s">
        <v>383</v>
      </c>
      <c r="I170" s="29" t="s">
        <v>384</v>
      </c>
      <c r="J170" s="29" t="s">
        <v>66</v>
      </c>
      <c r="K170" t="s">
        <v>39</v>
      </c>
      <c r="M170" t="s">
        <v>64</v>
      </c>
    </row>
    <row r="171" spans="1:13" ht="51">
      <c r="A171" t="s">
        <v>382</v>
      </c>
      <c r="B171" t="s">
        <v>385</v>
      </c>
      <c r="F171" t="s">
        <v>223</v>
      </c>
      <c r="H171" t="s">
        <v>383</v>
      </c>
      <c r="I171" s="29" t="s">
        <v>384</v>
      </c>
      <c r="J171" s="29" t="s">
        <v>66</v>
      </c>
      <c r="K171" t="s">
        <v>39</v>
      </c>
      <c r="M171" t="s">
        <v>65</v>
      </c>
    </row>
    <row r="172" spans="1:13" ht="51">
      <c r="A172" t="s">
        <v>386</v>
      </c>
      <c r="B172">
        <v>0.26</v>
      </c>
      <c r="C172">
        <v>0.247</v>
      </c>
      <c r="D172">
        <v>0.27300000000000002</v>
      </c>
      <c r="E172">
        <v>4419</v>
      </c>
      <c r="F172" t="s">
        <v>106</v>
      </c>
      <c r="H172" t="s">
        <v>387</v>
      </c>
      <c r="I172" s="29" t="s">
        <v>388</v>
      </c>
      <c r="J172" s="29" t="s">
        <v>389</v>
      </c>
      <c r="K172" t="s">
        <v>39</v>
      </c>
      <c r="M172" t="s">
        <v>381</v>
      </c>
    </row>
    <row r="173" spans="1:13" ht="102">
      <c r="A173" t="s">
        <v>386</v>
      </c>
      <c r="B173">
        <v>0.26</v>
      </c>
      <c r="C173">
        <v>0.247</v>
      </c>
      <c r="D173">
        <v>0.27300000000000002</v>
      </c>
      <c r="E173">
        <v>4419</v>
      </c>
      <c r="F173" t="s">
        <v>106</v>
      </c>
      <c r="H173" t="s">
        <v>387</v>
      </c>
      <c r="I173" s="29" t="s">
        <v>390</v>
      </c>
      <c r="J173" s="29" t="s">
        <v>389</v>
      </c>
      <c r="K173" t="s">
        <v>39</v>
      </c>
      <c r="M173" t="s">
        <v>61</v>
      </c>
    </row>
    <row r="174" spans="1:13" ht="102">
      <c r="A174" t="s">
        <v>386</v>
      </c>
      <c r="B174">
        <v>0.26</v>
      </c>
      <c r="C174">
        <v>0.247</v>
      </c>
      <c r="D174">
        <v>0.27300000000000002</v>
      </c>
      <c r="E174">
        <v>4419</v>
      </c>
      <c r="F174" t="s">
        <v>106</v>
      </c>
      <c r="H174" t="s">
        <v>387</v>
      </c>
      <c r="I174" s="29" t="s">
        <v>390</v>
      </c>
      <c r="J174" s="29" t="s">
        <v>389</v>
      </c>
      <c r="K174" t="s">
        <v>39</v>
      </c>
      <c r="M174" t="s">
        <v>64</v>
      </c>
    </row>
    <row r="175" spans="1:13" ht="237.95">
      <c r="A175" t="s">
        <v>386</v>
      </c>
      <c r="B175">
        <v>0.26</v>
      </c>
      <c r="C175">
        <v>0.247</v>
      </c>
      <c r="D175">
        <v>0.27300000000000002</v>
      </c>
      <c r="E175">
        <v>4419</v>
      </c>
      <c r="F175" t="s">
        <v>106</v>
      </c>
      <c r="H175" t="s">
        <v>387</v>
      </c>
      <c r="I175" s="29" t="s">
        <v>391</v>
      </c>
      <c r="J175" s="29" t="s">
        <v>389</v>
      </c>
      <c r="K175" t="s">
        <v>39</v>
      </c>
      <c r="M175" t="s">
        <v>65</v>
      </c>
    </row>
    <row r="176" spans="1:13" ht="33.950000000000003">
      <c r="A176" t="s">
        <v>392</v>
      </c>
      <c r="B176">
        <v>0.56000000000000005</v>
      </c>
      <c r="C176">
        <v>0.49399999999999999</v>
      </c>
      <c r="D176">
        <v>0.626</v>
      </c>
      <c r="E176">
        <v>216</v>
      </c>
      <c r="F176" t="s">
        <v>106</v>
      </c>
      <c r="H176" t="s">
        <v>393</v>
      </c>
      <c r="J176" s="29" t="s">
        <v>394</v>
      </c>
      <c r="K176" t="s">
        <v>39</v>
      </c>
      <c r="M176" t="s">
        <v>381</v>
      </c>
    </row>
    <row r="177" spans="1:13" ht="84.95">
      <c r="A177" t="s">
        <v>392</v>
      </c>
      <c r="B177">
        <v>0.55000000000000004</v>
      </c>
      <c r="F177" t="s">
        <v>106</v>
      </c>
      <c r="H177" t="s">
        <v>393</v>
      </c>
      <c r="I177" s="29" t="s">
        <v>395</v>
      </c>
      <c r="J177" s="29" t="s">
        <v>67</v>
      </c>
      <c r="K177" t="s">
        <v>39</v>
      </c>
      <c r="M177" t="s">
        <v>61</v>
      </c>
    </row>
    <row r="178" spans="1:13" ht="84.95">
      <c r="A178" t="s">
        <v>392</v>
      </c>
      <c r="B178">
        <v>0.74</v>
      </c>
      <c r="F178" t="s">
        <v>106</v>
      </c>
      <c r="H178" t="s">
        <v>393</v>
      </c>
      <c r="I178" s="29" t="s">
        <v>395</v>
      </c>
      <c r="J178" s="29" t="s">
        <v>69</v>
      </c>
      <c r="K178" t="s">
        <v>39</v>
      </c>
      <c r="M178" t="s">
        <v>64</v>
      </c>
    </row>
    <row r="179" spans="1:13" ht="84.95">
      <c r="A179" t="s">
        <v>392</v>
      </c>
      <c r="B179">
        <v>0.69</v>
      </c>
      <c r="F179" t="s">
        <v>106</v>
      </c>
      <c r="H179" t="s">
        <v>393</v>
      </c>
      <c r="I179" s="29" t="s">
        <v>395</v>
      </c>
      <c r="J179" s="29" t="s">
        <v>70</v>
      </c>
      <c r="K179" t="s">
        <v>39</v>
      </c>
      <c r="M179" t="s">
        <v>65</v>
      </c>
    </row>
    <row r="180" spans="1:13" ht="33.950000000000003">
      <c r="A180" t="s">
        <v>396</v>
      </c>
      <c r="B180">
        <v>0.57199999999999995</v>
      </c>
      <c r="C180">
        <v>0.50600000000000001</v>
      </c>
      <c r="D180">
        <v>0.63800000000000001</v>
      </c>
      <c r="E180">
        <v>216</v>
      </c>
      <c r="F180" t="s">
        <v>106</v>
      </c>
      <c r="H180" t="s">
        <v>397</v>
      </c>
      <c r="J180" s="29" t="s">
        <v>394</v>
      </c>
      <c r="K180" t="s">
        <v>39</v>
      </c>
      <c r="M180" t="s">
        <v>381</v>
      </c>
    </row>
    <row r="181" spans="1:13" ht="51">
      <c r="A181" t="s">
        <v>396</v>
      </c>
      <c r="B181">
        <v>0.32700000000000001</v>
      </c>
      <c r="C181">
        <v>0.29549999999999998</v>
      </c>
      <c r="D181">
        <v>0.35850000000000004</v>
      </c>
      <c r="F181" t="s">
        <v>106</v>
      </c>
      <c r="H181" t="s">
        <v>397</v>
      </c>
      <c r="I181" s="29" t="s">
        <v>398</v>
      </c>
      <c r="J181" s="29" t="s">
        <v>394</v>
      </c>
      <c r="K181" t="s">
        <v>39</v>
      </c>
      <c r="M181" t="s">
        <v>61</v>
      </c>
    </row>
    <row r="182" spans="1:13" ht="51">
      <c r="A182" t="s">
        <v>396</v>
      </c>
      <c r="B182">
        <v>0.36299999999999999</v>
      </c>
      <c r="C182">
        <v>0.32419999999999999</v>
      </c>
      <c r="D182">
        <v>0.40179999999999999</v>
      </c>
      <c r="F182" t="s">
        <v>106</v>
      </c>
      <c r="H182" t="s">
        <v>397</v>
      </c>
      <c r="I182" s="29" t="s">
        <v>398</v>
      </c>
      <c r="J182" s="29" t="s">
        <v>394</v>
      </c>
      <c r="K182" t="s">
        <v>39</v>
      </c>
      <c r="M182" t="s">
        <v>64</v>
      </c>
    </row>
    <row r="183" spans="1:13" ht="51">
      <c r="A183" t="s">
        <v>396</v>
      </c>
      <c r="B183">
        <v>0.81</v>
      </c>
      <c r="C183">
        <v>0.76900000000000002</v>
      </c>
      <c r="D183">
        <v>0.85100000000000009</v>
      </c>
      <c r="F183" t="s">
        <v>106</v>
      </c>
      <c r="H183" t="s">
        <v>397</v>
      </c>
      <c r="I183" s="29" t="s">
        <v>398</v>
      </c>
      <c r="J183" s="29" t="s">
        <v>394</v>
      </c>
      <c r="K183" t="s">
        <v>39</v>
      </c>
      <c r="M183" t="s">
        <v>65</v>
      </c>
    </row>
    <row r="184" spans="1:13" ht="33.950000000000003">
      <c r="A184" t="s">
        <v>399</v>
      </c>
      <c r="B184">
        <v>0.89</v>
      </c>
      <c r="C184">
        <v>0.88600000000000001</v>
      </c>
      <c r="D184">
        <v>0.89400000000000002</v>
      </c>
      <c r="E184">
        <v>19127</v>
      </c>
      <c r="F184" t="s">
        <v>106</v>
      </c>
      <c r="H184" t="s">
        <v>400</v>
      </c>
      <c r="I184" s="29" t="s">
        <v>401</v>
      </c>
      <c r="J184" s="29" t="s">
        <v>402</v>
      </c>
      <c r="K184" t="s">
        <v>39</v>
      </c>
      <c r="M184" t="s">
        <v>381</v>
      </c>
    </row>
    <row r="185" spans="1:13" ht="33.950000000000003">
      <c r="A185" t="s">
        <v>399</v>
      </c>
      <c r="B185">
        <v>0.89</v>
      </c>
      <c r="F185" t="s">
        <v>106</v>
      </c>
      <c r="H185" t="s">
        <v>400</v>
      </c>
      <c r="I185" s="29" t="s">
        <v>403</v>
      </c>
      <c r="K185" t="s">
        <v>39</v>
      </c>
      <c r="M185" t="s">
        <v>61</v>
      </c>
    </row>
    <row r="186" spans="1:13" ht="33.950000000000003">
      <c r="A186" t="s">
        <v>399</v>
      </c>
      <c r="B186">
        <v>0.89</v>
      </c>
      <c r="F186" t="s">
        <v>106</v>
      </c>
      <c r="H186" t="s">
        <v>400</v>
      </c>
      <c r="I186" s="29" t="s">
        <v>403</v>
      </c>
      <c r="K186" t="s">
        <v>39</v>
      </c>
      <c r="M186" t="s">
        <v>64</v>
      </c>
    </row>
    <row r="187" spans="1:13" ht="33.950000000000003">
      <c r="A187" t="s">
        <v>399</v>
      </c>
      <c r="B187">
        <v>0.89</v>
      </c>
      <c r="F187" t="s">
        <v>106</v>
      </c>
      <c r="H187" t="s">
        <v>400</v>
      </c>
      <c r="I187" s="29" t="s">
        <v>403</v>
      </c>
      <c r="K187" t="s">
        <v>39</v>
      </c>
      <c r="M187" t="s">
        <v>65</v>
      </c>
    </row>
    <row r="188" spans="1:13" ht="51">
      <c r="A188" t="s">
        <v>404</v>
      </c>
      <c r="B188">
        <v>0.54</v>
      </c>
      <c r="C188">
        <v>0.41899999999999998</v>
      </c>
      <c r="D188">
        <v>0.66100000000000003</v>
      </c>
      <c r="E188">
        <v>65</v>
      </c>
      <c r="F188" t="s">
        <v>106</v>
      </c>
      <c r="H188" t="s">
        <v>405</v>
      </c>
      <c r="I188" s="29" t="s">
        <v>401</v>
      </c>
      <c r="J188" s="29" t="s">
        <v>406</v>
      </c>
      <c r="K188" t="s">
        <v>39</v>
      </c>
      <c r="M188" t="s">
        <v>381</v>
      </c>
    </row>
    <row r="189" spans="1:13" ht="119.1">
      <c r="A189" t="s">
        <v>404</v>
      </c>
      <c r="B189">
        <v>0.61</v>
      </c>
      <c r="F189" t="s">
        <v>106</v>
      </c>
      <c r="H189" t="s">
        <v>405</v>
      </c>
      <c r="I189" s="29" t="s">
        <v>407</v>
      </c>
      <c r="J189" s="29" t="s">
        <v>408</v>
      </c>
      <c r="K189" t="s">
        <v>39</v>
      </c>
      <c r="M189" t="s">
        <v>61</v>
      </c>
    </row>
    <row r="190" spans="1:13" ht="119.1">
      <c r="A190" t="s">
        <v>404</v>
      </c>
      <c r="B190">
        <v>0.65</v>
      </c>
      <c r="F190" t="s">
        <v>106</v>
      </c>
      <c r="H190" t="s">
        <v>405</v>
      </c>
      <c r="I190" s="29" t="s">
        <v>407</v>
      </c>
      <c r="J190" s="29" t="s">
        <v>408</v>
      </c>
      <c r="K190" t="s">
        <v>39</v>
      </c>
      <c r="M190" t="s">
        <v>64</v>
      </c>
    </row>
    <row r="191" spans="1:13" ht="119.1">
      <c r="A191" t="s">
        <v>404</v>
      </c>
      <c r="B191">
        <v>0.56499999999999995</v>
      </c>
      <c r="F191" t="s">
        <v>106</v>
      </c>
      <c r="H191" t="s">
        <v>405</v>
      </c>
      <c r="I191" s="29" t="s">
        <v>407</v>
      </c>
      <c r="J191" s="29" t="s">
        <v>408</v>
      </c>
      <c r="K191" t="s">
        <v>39</v>
      </c>
      <c r="M191" t="s">
        <v>65</v>
      </c>
    </row>
    <row r="192" spans="1:13" ht="51">
      <c r="A192" t="s">
        <v>409</v>
      </c>
      <c r="B192">
        <v>0.6</v>
      </c>
      <c r="C192">
        <v>0.496</v>
      </c>
      <c r="D192">
        <v>0.70399999999999996</v>
      </c>
      <c r="E192">
        <v>86</v>
      </c>
      <c r="F192" t="s">
        <v>106</v>
      </c>
      <c r="H192" t="s">
        <v>410</v>
      </c>
      <c r="I192" s="29" t="s">
        <v>401</v>
      </c>
      <c r="J192" s="29" t="s">
        <v>406</v>
      </c>
      <c r="K192" t="s">
        <v>39</v>
      </c>
      <c r="M192" t="s">
        <v>381</v>
      </c>
    </row>
    <row r="193" spans="1:13" ht="119.1">
      <c r="A193" t="s">
        <v>409</v>
      </c>
      <c r="B193">
        <v>0.61</v>
      </c>
      <c r="F193" t="s">
        <v>106</v>
      </c>
      <c r="H193" t="s">
        <v>410</v>
      </c>
      <c r="I193" s="29" t="s">
        <v>407</v>
      </c>
      <c r="J193" s="29" t="s">
        <v>408</v>
      </c>
      <c r="K193" t="s">
        <v>39</v>
      </c>
      <c r="M193" t="s">
        <v>61</v>
      </c>
    </row>
    <row r="194" spans="1:13" ht="119.1">
      <c r="A194" t="s">
        <v>409</v>
      </c>
      <c r="B194">
        <v>0.65</v>
      </c>
      <c r="F194" t="s">
        <v>106</v>
      </c>
      <c r="H194" t="s">
        <v>410</v>
      </c>
      <c r="I194" s="29" t="s">
        <v>407</v>
      </c>
      <c r="J194" s="29" t="s">
        <v>408</v>
      </c>
      <c r="K194" t="s">
        <v>39</v>
      </c>
      <c r="M194" t="s">
        <v>64</v>
      </c>
    </row>
    <row r="195" spans="1:13" ht="119.1">
      <c r="A195" t="s">
        <v>409</v>
      </c>
      <c r="B195">
        <v>0.56499999999999995</v>
      </c>
      <c r="F195" t="s">
        <v>106</v>
      </c>
      <c r="H195" t="s">
        <v>410</v>
      </c>
      <c r="I195" s="29" t="s">
        <v>407</v>
      </c>
      <c r="J195" s="29" t="s">
        <v>408</v>
      </c>
      <c r="K195" t="s">
        <v>39</v>
      </c>
      <c r="M195" t="s">
        <v>65</v>
      </c>
    </row>
    <row r="196" spans="1:13" ht="51">
      <c r="A196" t="s">
        <v>411</v>
      </c>
      <c r="B196">
        <v>2898.08</v>
      </c>
      <c r="F196" t="s">
        <v>223</v>
      </c>
      <c r="H196" t="s">
        <v>412</v>
      </c>
      <c r="I196" s="29" t="s">
        <v>401</v>
      </c>
      <c r="J196" s="29" t="s">
        <v>406</v>
      </c>
      <c r="K196" t="s">
        <v>39</v>
      </c>
      <c r="M196" t="s">
        <v>381</v>
      </c>
    </row>
    <row r="197" spans="1:13">
      <c r="A197" t="s">
        <v>411</v>
      </c>
      <c r="B197">
        <v>2115.75</v>
      </c>
      <c r="F197" t="s">
        <v>223</v>
      </c>
      <c r="H197" t="s">
        <v>413</v>
      </c>
      <c r="K197" t="s">
        <v>39</v>
      </c>
      <c r="M197" t="s">
        <v>61</v>
      </c>
    </row>
    <row r="198" spans="1:13">
      <c r="A198" t="s">
        <v>411</v>
      </c>
      <c r="B198">
        <v>1375.2</v>
      </c>
      <c r="F198" t="s">
        <v>223</v>
      </c>
      <c r="H198" t="s">
        <v>413</v>
      </c>
      <c r="K198" t="s">
        <v>39</v>
      </c>
      <c r="M198" t="s">
        <v>64</v>
      </c>
    </row>
    <row r="199" spans="1:13">
      <c r="A199" t="s">
        <v>411</v>
      </c>
      <c r="B199">
        <v>2003.67</v>
      </c>
      <c r="F199" t="s">
        <v>223</v>
      </c>
      <c r="H199" t="s">
        <v>413</v>
      </c>
      <c r="K199" t="s">
        <v>39</v>
      </c>
      <c r="M199" t="s">
        <v>65</v>
      </c>
    </row>
    <row r="200" spans="1:13" ht="84.95">
      <c r="A200" t="s">
        <v>414</v>
      </c>
      <c r="B200">
        <v>0.70599999999999996</v>
      </c>
      <c r="H200" t="s">
        <v>415</v>
      </c>
      <c r="J200" s="29" t="s">
        <v>416</v>
      </c>
      <c r="K200" t="s">
        <v>60</v>
      </c>
      <c r="M200" t="s">
        <v>381</v>
      </c>
    </row>
    <row r="201" spans="1:13">
      <c r="A201" t="s">
        <v>414</v>
      </c>
      <c r="H201" t="s">
        <v>415</v>
      </c>
      <c r="K201" t="s">
        <v>60</v>
      </c>
      <c r="M201" t="s">
        <v>61</v>
      </c>
    </row>
    <row r="202" spans="1:13">
      <c r="A202" t="s">
        <v>414</v>
      </c>
      <c r="H202" t="s">
        <v>415</v>
      </c>
      <c r="K202" t="s">
        <v>60</v>
      </c>
      <c r="M202" t="s">
        <v>64</v>
      </c>
    </row>
    <row r="203" spans="1:13">
      <c r="A203" t="s">
        <v>414</v>
      </c>
      <c r="H203" t="s">
        <v>415</v>
      </c>
      <c r="K203" t="s">
        <v>60</v>
      </c>
      <c r="M203" t="s">
        <v>65</v>
      </c>
    </row>
    <row r="204" spans="1:13" ht="84.95">
      <c r="A204" t="s">
        <v>417</v>
      </c>
      <c r="B204">
        <v>0.11</v>
      </c>
      <c r="H204" t="s">
        <v>418</v>
      </c>
      <c r="J204" s="29" t="s">
        <v>416</v>
      </c>
      <c r="K204" t="s">
        <v>60</v>
      </c>
      <c r="M204" t="s">
        <v>381</v>
      </c>
    </row>
    <row r="205" spans="1:13">
      <c r="A205" t="s">
        <v>417</v>
      </c>
      <c r="H205" t="s">
        <v>418</v>
      </c>
      <c r="K205" t="s">
        <v>60</v>
      </c>
      <c r="M205" t="s">
        <v>61</v>
      </c>
    </row>
    <row r="206" spans="1:13">
      <c r="A206" t="s">
        <v>417</v>
      </c>
      <c r="H206" t="s">
        <v>418</v>
      </c>
      <c r="K206" t="s">
        <v>60</v>
      </c>
      <c r="M206" t="s">
        <v>64</v>
      </c>
    </row>
    <row r="207" spans="1:13">
      <c r="A207" t="s">
        <v>417</v>
      </c>
      <c r="H207" t="s">
        <v>418</v>
      </c>
      <c r="K207" t="s">
        <v>60</v>
      </c>
      <c r="M207" t="s">
        <v>65</v>
      </c>
    </row>
    <row r="208" spans="1:13" ht="84.95">
      <c r="A208" t="s">
        <v>419</v>
      </c>
      <c r="B208">
        <v>0.16919999999999999</v>
      </c>
      <c r="H208" t="s">
        <v>420</v>
      </c>
      <c r="J208" s="29" t="s">
        <v>416</v>
      </c>
      <c r="K208" t="s">
        <v>60</v>
      </c>
      <c r="M208" t="s">
        <v>381</v>
      </c>
    </row>
    <row r="209" spans="1:13">
      <c r="A209" t="s">
        <v>419</v>
      </c>
      <c r="H209" t="s">
        <v>420</v>
      </c>
      <c r="K209" t="s">
        <v>60</v>
      </c>
      <c r="M209" t="s">
        <v>61</v>
      </c>
    </row>
    <row r="210" spans="1:13">
      <c r="A210" t="s">
        <v>419</v>
      </c>
      <c r="H210" t="s">
        <v>420</v>
      </c>
      <c r="K210" t="s">
        <v>60</v>
      </c>
      <c r="M210" t="s">
        <v>64</v>
      </c>
    </row>
    <row r="211" spans="1:13">
      <c r="A211" t="s">
        <v>419</v>
      </c>
      <c r="H211" t="s">
        <v>420</v>
      </c>
      <c r="K211" t="s">
        <v>60</v>
      </c>
      <c r="M211" t="s">
        <v>65</v>
      </c>
    </row>
    <row r="212" spans="1:13" ht="84.95">
      <c r="A212" t="s">
        <v>421</v>
      </c>
      <c r="B212">
        <v>0.32550000000000001</v>
      </c>
      <c r="H212" t="s">
        <v>422</v>
      </c>
      <c r="J212" s="29" t="s">
        <v>416</v>
      </c>
      <c r="K212" t="s">
        <v>60</v>
      </c>
      <c r="M212" t="s">
        <v>381</v>
      </c>
    </row>
    <row r="213" spans="1:13">
      <c r="A213" t="s">
        <v>421</v>
      </c>
      <c r="H213" t="s">
        <v>422</v>
      </c>
      <c r="K213" t="s">
        <v>60</v>
      </c>
      <c r="M213" t="s">
        <v>61</v>
      </c>
    </row>
    <row r="214" spans="1:13">
      <c r="A214" t="s">
        <v>421</v>
      </c>
      <c r="H214" t="s">
        <v>422</v>
      </c>
      <c r="K214" t="s">
        <v>60</v>
      </c>
      <c r="M214" t="s">
        <v>64</v>
      </c>
    </row>
    <row r="215" spans="1:13">
      <c r="A215" t="s">
        <v>421</v>
      </c>
      <c r="H215" t="s">
        <v>422</v>
      </c>
      <c r="K215" t="s">
        <v>60</v>
      </c>
      <c r="M215" t="s">
        <v>65</v>
      </c>
    </row>
    <row r="216" spans="1:13" ht="84.95">
      <c r="A216" t="s">
        <v>423</v>
      </c>
      <c r="B216">
        <v>0.7641</v>
      </c>
      <c r="H216" t="s">
        <v>424</v>
      </c>
      <c r="J216" s="29" t="s">
        <v>416</v>
      </c>
      <c r="K216" t="s">
        <v>60</v>
      </c>
      <c r="M216" t="s">
        <v>381</v>
      </c>
    </row>
    <row r="217" spans="1:13">
      <c r="A217" t="s">
        <v>423</v>
      </c>
      <c r="H217" t="s">
        <v>424</v>
      </c>
      <c r="K217" t="s">
        <v>60</v>
      </c>
      <c r="M217" t="s">
        <v>61</v>
      </c>
    </row>
    <row r="218" spans="1:13">
      <c r="A218" t="s">
        <v>423</v>
      </c>
      <c r="H218" t="s">
        <v>424</v>
      </c>
      <c r="K218" t="s">
        <v>60</v>
      </c>
      <c r="M218" t="s">
        <v>64</v>
      </c>
    </row>
    <row r="219" spans="1:13">
      <c r="A219" t="s">
        <v>423</v>
      </c>
      <c r="H219" t="s">
        <v>424</v>
      </c>
      <c r="K219" t="s">
        <v>60</v>
      </c>
      <c r="M219" t="s">
        <v>65</v>
      </c>
    </row>
    <row r="220" spans="1:13" ht="84.95">
      <c r="A220" t="s">
        <v>425</v>
      </c>
      <c r="B220">
        <v>0.63060000000000005</v>
      </c>
      <c r="H220" t="s">
        <v>426</v>
      </c>
      <c r="J220" s="29" t="s">
        <v>416</v>
      </c>
      <c r="K220" t="s">
        <v>60</v>
      </c>
      <c r="M220" t="s">
        <v>381</v>
      </c>
    </row>
    <row r="221" spans="1:13">
      <c r="A221" t="s">
        <v>425</v>
      </c>
      <c r="H221" t="s">
        <v>426</v>
      </c>
      <c r="K221" t="s">
        <v>60</v>
      </c>
      <c r="M221" t="s">
        <v>61</v>
      </c>
    </row>
    <row r="222" spans="1:13">
      <c r="A222" t="s">
        <v>425</v>
      </c>
      <c r="H222" t="s">
        <v>426</v>
      </c>
      <c r="K222" t="s">
        <v>60</v>
      </c>
      <c r="M222" t="s">
        <v>64</v>
      </c>
    </row>
    <row r="223" spans="1:13">
      <c r="A223" t="s">
        <v>425</v>
      </c>
      <c r="H223" t="s">
        <v>426</v>
      </c>
      <c r="K223" t="s">
        <v>60</v>
      </c>
      <c r="M223" t="s">
        <v>65</v>
      </c>
    </row>
    <row r="224" spans="1:13" ht="68.099999999999994">
      <c r="A224" t="s">
        <v>427</v>
      </c>
      <c r="B224">
        <v>0.82509999999999994</v>
      </c>
      <c r="H224" t="s">
        <v>428</v>
      </c>
      <c r="J224" s="29" t="s">
        <v>429</v>
      </c>
      <c r="K224" t="s">
        <v>60</v>
      </c>
      <c r="M224" t="s">
        <v>381</v>
      </c>
    </row>
    <row r="225" spans="1:13">
      <c r="A225" t="s">
        <v>427</v>
      </c>
      <c r="H225" t="s">
        <v>428</v>
      </c>
      <c r="K225" t="s">
        <v>60</v>
      </c>
      <c r="M225" t="s">
        <v>61</v>
      </c>
    </row>
    <row r="226" spans="1:13">
      <c r="A226" t="s">
        <v>427</v>
      </c>
      <c r="H226" t="s">
        <v>428</v>
      </c>
      <c r="K226" t="s">
        <v>60</v>
      </c>
      <c r="M226" t="s">
        <v>64</v>
      </c>
    </row>
    <row r="227" spans="1:13">
      <c r="A227" t="s">
        <v>427</v>
      </c>
      <c r="H227" t="s">
        <v>428</v>
      </c>
      <c r="K227" t="s">
        <v>60</v>
      </c>
      <c r="M227" t="s">
        <v>65</v>
      </c>
    </row>
    <row r="228" spans="1:13" ht="84.95">
      <c r="A228" t="s">
        <v>430</v>
      </c>
      <c r="B228">
        <v>6.4199999999999993E-2</v>
      </c>
      <c r="H228" t="s">
        <v>431</v>
      </c>
      <c r="J228" s="29" t="s">
        <v>432</v>
      </c>
      <c r="K228" t="s">
        <v>60</v>
      </c>
      <c r="M228" t="s">
        <v>381</v>
      </c>
    </row>
    <row r="229" spans="1:13">
      <c r="A229" t="s">
        <v>430</v>
      </c>
      <c r="H229" t="s">
        <v>431</v>
      </c>
      <c r="K229" t="s">
        <v>60</v>
      </c>
      <c r="M229" t="s">
        <v>61</v>
      </c>
    </row>
    <row r="230" spans="1:13">
      <c r="A230" t="s">
        <v>430</v>
      </c>
      <c r="H230" t="s">
        <v>431</v>
      </c>
      <c r="K230" t="s">
        <v>60</v>
      </c>
      <c r="M230" t="s">
        <v>64</v>
      </c>
    </row>
    <row r="231" spans="1:13">
      <c r="A231" t="s">
        <v>430</v>
      </c>
      <c r="H231" t="s">
        <v>431</v>
      </c>
      <c r="K231" t="s">
        <v>60</v>
      </c>
      <c r="M231" t="s">
        <v>65</v>
      </c>
    </row>
    <row r="232" spans="1:13" ht="404.1">
      <c r="A232" t="s">
        <v>433</v>
      </c>
      <c r="B232">
        <v>0.77990000000000004</v>
      </c>
      <c r="H232" t="s">
        <v>434</v>
      </c>
      <c r="I232" s="29" t="s">
        <v>435</v>
      </c>
      <c r="J232" s="29" t="s">
        <v>432</v>
      </c>
      <c r="K232" t="s">
        <v>60</v>
      </c>
      <c r="M232" t="s">
        <v>381</v>
      </c>
    </row>
    <row r="233" spans="1:13">
      <c r="A233" t="s">
        <v>433</v>
      </c>
      <c r="H233" t="s">
        <v>434</v>
      </c>
      <c r="K233" t="s">
        <v>60</v>
      </c>
      <c r="M233" t="s">
        <v>61</v>
      </c>
    </row>
    <row r="234" spans="1:13">
      <c r="A234" t="s">
        <v>433</v>
      </c>
      <c r="H234" t="s">
        <v>434</v>
      </c>
      <c r="K234" t="s">
        <v>60</v>
      </c>
      <c r="M234" t="s">
        <v>64</v>
      </c>
    </row>
    <row r="235" spans="1:13">
      <c r="A235" t="s">
        <v>433</v>
      </c>
      <c r="H235" t="s">
        <v>434</v>
      </c>
      <c r="K235" t="s">
        <v>60</v>
      </c>
      <c r="M235" t="s">
        <v>65</v>
      </c>
    </row>
    <row r="236" spans="1:13" ht="102">
      <c r="A236" t="s">
        <v>436</v>
      </c>
      <c r="B236">
        <v>0.35</v>
      </c>
      <c r="H236" t="s">
        <v>437</v>
      </c>
      <c r="I236" s="29" t="s">
        <v>438</v>
      </c>
      <c r="J236" s="29" t="s">
        <v>63</v>
      </c>
      <c r="K236" t="s">
        <v>60</v>
      </c>
      <c r="M236" t="s">
        <v>381</v>
      </c>
    </row>
    <row r="237" spans="1:13" ht="102">
      <c r="A237" t="s">
        <v>436</v>
      </c>
      <c r="H237" t="s">
        <v>437</v>
      </c>
      <c r="I237" s="29" t="s">
        <v>438</v>
      </c>
      <c r="J237" s="29" t="s">
        <v>63</v>
      </c>
      <c r="K237" t="s">
        <v>60</v>
      </c>
      <c r="M237" t="s">
        <v>61</v>
      </c>
    </row>
    <row r="238" spans="1:13" ht="102">
      <c r="A238" t="s">
        <v>436</v>
      </c>
      <c r="H238" t="s">
        <v>437</v>
      </c>
      <c r="I238" s="29" t="s">
        <v>438</v>
      </c>
      <c r="J238" s="29" t="s">
        <v>63</v>
      </c>
      <c r="K238" t="s">
        <v>60</v>
      </c>
      <c r="M238" t="s">
        <v>64</v>
      </c>
    </row>
    <row r="239" spans="1:13" ht="102">
      <c r="A239" t="s">
        <v>436</v>
      </c>
      <c r="H239" t="s">
        <v>437</v>
      </c>
      <c r="I239" s="29" t="s">
        <v>438</v>
      </c>
      <c r="J239" s="29" t="s">
        <v>63</v>
      </c>
      <c r="K239" t="s">
        <v>60</v>
      </c>
      <c r="M239" t="s">
        <v>65</v>
      </c>
    </row>
    <row r="240" spans="1:13" ht="102">
      <c r="A240" t="s">
        <v>439</v>
      </c>
      <c r="B240">
        <v>0.77990000000000004</v>
      </c>
      <c r="H240" t="s">
        <v>440</v>
      </c>
      <c r="I240" s="29" t="s">
        <v>438</v>
      </c>
      <c r="J240" s="29" t="s">
        <v>63</v>
      </c>
      <c r="K240" t="s">
        <v>60</v>
      </c>
      <c r="M240" t="s">
        <v>381</v>
      </c>
    </row>
    <row r="241" spans="1:13" ht="102">
      <c r="A241" t="s">
        <v>439</v>
      </c>
      <c r="H241" t="s">
        <v>440</v>
      </c>
      <c r="I241" s="29" t="s">
        <v>438</v>
      </c>
      <c r="J241" s="29" t="s">
        <v>63</v>
      </c>
      <c r="K241" t="s">
        <v>60</v>
      </c>
      <c r="M241" t="s">
        <v>61</v>
      </c>
    </row>
    <row r="242" spans="1:13" ht="102">
      <c r="A242" t="s">
        <v>439</v>
      </c>
      <c r="H242" t="s">
        <v>440</v>
      </c>
      <c r="I242" s="29" t="s">
        <v>438</v>
      </c>
      <c r="J242" s="29" t="s">
        <v>63</v>
      </c>
      <c r="K242" t="s">
        <v>60</v>
      </c>
      <c r="M242" t="s">
        <v>64</v>
      </c>
    </row>
    <row r="243" spans="1:13" ht="102">
      <c r="A243" t="s">
        <v>439</v>
      </c>
      <c r="H243" t="s">
        <v>440</v>
      </c>
      <c r="I243" s="29" t="s">
        <v>438</v>
      </c>
      <c r="J243" s="29" t="s">
        <v>63</v>
      </c>
      <c r="K243" t="s">
        <v>60</v>
      </c>
      <c r="M243" t="s">
        <v>65</v>
      </c>
    </row>
    <row r="244" spans="1:13" ht="84.95">
      <c r="A244" t="s">
        <v>441</v>
      </c>
      <c r="B244">
        <v>1.7600000000000001E-2</v>
      </c>
      <c r="H244" t="s">
        <v>442</v>
      </c>
      <c r="J244" s="29" t="s">
        <v>432</v>
      </c>
      <c r="K244" t="s">
        <v>60</v>
      </c>
      <c r="M244" t="s">
        <v>381</v>
      </c>
    </row>
    <row r="245" spans="1:13">
      <c r="A245" t="s">
        <v>441</v>
      </c>
      <c r="H245" t="s">
        <v>442</v>
      </c>
      <c r="K245" t="s">
        <v>60</v>
      </c>
      <c r="M245" t="s">
        <v>61</v>
      </c>
    </row>
    <row r="246" spans="1:13">
      <c r="A246" t="s">
        <v>441</v>
      </c>
      <c r="H246" t="s">
        <v>442</v>
      </c>
      <c r="K246" t="s">
        <v>60</v>
      </c>
      <c r="M246" t="s">
        <v>64</v>
      </c>
    </row>
    <row r="247" spans="1:13">
      <c r="A247" t="s">
        <v>441</v>
      </c>
      <c r="H247" t="s">
        <v>442</v>
      </c>
      <c r="K247" t="s">
        <v>60</v>
      </c>
      <c r="M247" t="s">
        <v>65</v>
      </c>
    </row>
    <row r="248" spans="1:13" ht="84.95">
      <c r="A248" t="s">
        <v>443</v>
      </c>
      <c r="B248">
        <v>1.6400000000000001E-2</v>
      </c>
      <c r="H248" t="s">
        <v>444</v>
      </c>
      <c r="J248" s="29" t="s">
        <v>432</v>
      </c>
      <c r="K248" t="s">
        <v>60</v>
      </c>
      <c r="M248" t="s">
        <v>381</v>
      </c>
    </row>
    <row r="249" spans="1:13">
      <c r="A249" t="s">
        <v>443</v>
      </c>
      <c r="H249" t="s">
        <v>444</v>
      </c>
      <c r="K249" t="s">
        <v>60</v>
      </c>
      <c r="M249" t="s">
        <v>61</v>
      </c>
    </row>
    <row r="250" spans="1:13">
      <c r="A250" t="s">
        <v>443</v>
      </c>
      <c r="H250" t="s">
        <v>444</v>
      </c>
      <c r="K250" t="s">
        <v>60</v>
      </c>
      <c r="M250" t="s">
        <v>64</v>
      </c>
    </row>
    <row r="251" spans="1:13">
      <c r="A251" t="s">
        <v>443</v>
      </c>
      <c r="H251" t="s">
        <v>444</v>
      </c>
      <c r="K251" t="s">
        <v>60</v>
      </c>
      <c r="M251" t="s">
        <v>65</v>
      </c>
    </row>
    <row r="252" spans="1:13" ht="84.95">
      <c r="A252" t="s">
        <v>445</v>
      </c>
      <c r="B252">
        <v>1.9099999999999999E-2</v>
      </c>
      <c r="H252" t="s">
        <v>446</v>
      </c>
      <c r="J252" s="29" t="s">
        <v>432</v>
      </c>
      <c r="K252" t="s">
        <v>60</v>
      </c>
      <c r="M252" t="s">
        <v>381</v>
      </c>
    </row>
    <row r="253" spans="1:13">
      <c r="A253" t="s">
        <v>445</v>
      </c>
      <c r="H253" t="s">
        <v>446</v>
      </c>
      <c r="K253" t="s">
        <v>60</v>
      </c>
      <c r="M253" t="s">
        <v>61</v>
      </c>
    </row>
    <row r="254" spans="1:13">
      <c r="A254" t="s">
        <v>445</v>
      </c>
      <c r="H254" t="s">
        <v>446</v>
      </c>
      <c r="K254" t="s">
        <v>60</v>
      </c>
      <c r="M254" t="s">
        <v>64</v>
      </c>
    </row>
    <row r="255" spans="1:13">
      <c r="A255" t="s">
        <v>445</v>
      </c>
      <c r="H255" t="s">
        <v>446</v>
      </c>
      <c r="K255" t="s">
        <v>60</v>
      </c>
      <c r="M255" t="s">
        <v>65</v>
      </c>
    </row>
    <row r="256" spans="1:13" ht="84.95">
      <c r="A256" t="s">
        <v>447</v>
      </c>
      <c r="B256">
        <v>0.79820000000000002</v>
      </c>
      <c r="H256" t="s">
        <v>448</v>
      </c>
      <c r="J256" s="29" t="s">
        <v>432</v>
      </c>
      <c r="K256" t="s">
        <v>60</v>
      </c>
      <c r="M256" t="s">
        <v>381</v>
      </c>
    </row>
    <row r="257" spans="1:13">
      <c r="A257" t="s">
        <v>447</v>
      </c>
      <c r="H257" t="s">
        <v>448</v>
      </c>
      <c r="K257" t="s">
        <v>60</v>
      </c>
      <c r="M257" t="s">
        <v>61</v>
      </c>
    </row>
    <row r="258" spans="1:13">
      <c r="A258" t="s">
        <v>447</v>
      </c>
      <c r="H258" t="s">
        <v>448</v>
      </c>
      <c r="K258" t="s">
        <v>60</v>
      </c>
      <c r="M258" t="s">
        <v>64</v>
      </c>
    </row>
    <row r="259" spans="1:13">
      <c r="A259" t="s">
        <v>447</v>
      </c>
      <c r="H259" t="s">
        <v>448</v>
      </c>
      <c r="K259" t="s">
        <v>60</v>
      </c>
      <c r="M259" t="s">
        <v>65</v>
      </c>
    </row>
    <row r="260" spans="1:13" ht="84.95">
      <c r="A260" t="s">
        <v>449</v>
      </c>
      <c r="B260">
        <v>0.01</v>
      </c>
      <c r="H260" t="s">
        <v>450</v>
      </c>
      <c r="J260" s="29" t="s">
        <v>432</v>
      </c>
      <c r="K260" t="s">
        <v>60</v>
      </c>
      <c r="M260" t="s">
        <v>381</v>
      </c>
    </row>
    <row r="261" spans="1:13">
      <c r="A261" t="s">
        <v>449</v>
      </c>
      <c r="H261" t="s">
        <v>450</v>
      </c>
      <c r="K261" t="s">
        <v>60</v>
      </c>
      <c r="M261" t="s">
        <v>61</v>
      </c>
    </row>
    <row r="262" spans="1:13">
      <c r="A262" t="s">
        <v>449</v>
      </c>
      <c r="H262" t="s">
        <v>450</v>
      </c>
      <c r="K262" t="s">
        <v>60</v>
      </c>
      <c r="M262" t="s">
        <v>64</v>
      </c>
    </row>
    <row r="263" spans="1:13">
      <c r="A263" t="s">
        <v>449</v>
      </c>
      <c r="H263" t="s">
        <v>450</v>
      </c>
      <c r="K263" t="s">
        <v>60</v>
      </c>
      <c r="M263" t="s">
        <v>65</v>
      </c>
    </row>
    <row r="264" spans="1:13" ht="84.95">
      <c r="A264" t="s">
        <v>451</v>
      </c>
      <c r="B264">
        <v>3.56E-2</v>
      </c>
      <c r="H264" t="s">
        <v>452</v>
      </c>
      <c r="J264" s="29" t="s">
        <v>432</v>
      </c>
      <c r="K264" t="s">
        <v>60</v>
      </c>
      <c r="M264" t="s">
        <v>381</v>
      </c>
    </row>
    <row r="265" spans="1:13">
      <c r="A265" t="s">
        <v>451</v>
      </c>
      <c r="H265" t="s">
        <v>452</v>
      </c>
      <c r="K265" t="s">
        <v>60</v>
      </c>
      <c r="M265" t="s">
        <v>61</v>
      </c>
    </row>
    <row r="266" spans="1:13">
      <c r="A266" t="s">
        <v>451</v>
      </c>
      <c r="H266" t="s">
        <v>452</v>
      </c>
      <c r="K266" t="s">
        <v>60</v>
      </c>
      <c r="M266" t="s">
        <v>64</v>
      </c>
    </row>
    <row r="267" spans="1:13">
      <c r="A267" t="s">
        <v>451</v>
      </c>
      <c r="H267" t="s">
        <v>452</v>
      </c>
      <c r="K267" t="s">
        <v>60</v>
      </c>
      <c r="M267" t="s">
        <v>65</v>
      </c>
    </row>
    <row r="268" spans="1:13" ht="84.95">
      <c r="A268" t="s">
        <v>453</v>
      </c>
      <c r="B268">
        <v>0</v>
      </c>
      <c r="H268" t="s">
        <v>454</v>
      </c>
      <c r="I268" s="29" t="s">
        <v>455</v>
      </c>
      <c r="J268" s="29" t="s">
        <v>432</v>
      </c>
      <c r="K268" t="s">
        <v>60</v>
      </c>
      <c r="L268">
        <v>0</v>
      </c>
      <c r="M268" t="s">
        <v>381</v>
      </c>
    </row>
    <row r="269" spans="1:13" ht="84.95">
      <c r="A269" t="s">
        <v>453</v>
      </c>
      <c r="B269">
        <v>5.6800000000000003E-2</v>
      </c>
      <c r="H269" t="s">
        <v>456</v>
      </c>
      <c r="J269" s="29" t="s">
        <v>432</v>
      </c>
      <c r="K269" t="s">
        <v>60</v>
      </c>
      <c r="L269">
        <v>1</v>
      </c>
      <c r="M269" t="s">
        <v>381</v>
      </c>
    </row>
    <row r="270" spans="1:13" ht="84.95">
      <c r="A270" t="s">
        <v>453</v>
      </c>
      <c r="B270">
        <v>0.1215</v>
      </c>
      <c r="H270" t="s">
        <v>457</v>
      </c>
      <c r="J270" s="29" t="s">
        <v>432</v>
      </c>
      <c r="K270" t="s">
        <v>60</v>
      </c>
      <c r="L270">
        <v>2</v>
      </c>
      <c r="M270" t="s">
        <v>381</v>
      </c>
    </row>
    <row r="271" spans="1:13" ht="84.95">
      <c r="A271" t="s">
        <v>453</v>
      </c>
      <c r="B271">
        <v>0.1215</v>
      </c>
      <c r="H271" t="s">
        <v>458</v>
      </c>
      <c r="J271" s="29" t="s">
        <v>432</v>
      </c>
      <c r="K271" t="s">
        <v>60</v>
      </c>
      <c r="L271">
        <v>3</v>
      </c>
      <c r="M271" t="s">
        <v>381</v>
      </c>
    </row>
    <row r="272" spans="1:13">
      <c r="A272" t="s">
        <v>453</v>
      </c>
      <c r="H272" t="s">
        <v>454</v>
      </c>
      <c r="K272" t="s">
        <v>60</v>
      </c>
      <c r="L272">
        <v>0</v>
      </c>
      <c r="M272" t="s">
        <v>61</v>
      </c>
    </row>
    <row r="273" spans="1:13">
      <c r="A273" t="s">
        <v>453</v>
      </c>
      <c r="H273" t="s">
        <v>456</v>
      </c>
      <c r="K273" t="s">
        <v>60</v>
      </c>
      <c r="L273">
        <v>1</v>
      </c>
      <c r="M273" t="s">
        <v>61</v>
      </c>
    </row>
    <row r="274" spans="1:13">
      <c r="A274" t="s">
        <v>453</v>
      </c>
      <c r="H274" t="s">
        <v>457</v>
      </c>
      <c r="K274" t="s">
        <v>60</v>
      </c>
      <c r="L274">
        <v>2</v>
      </c>
      <c r="M274" t="s">
        <v>61</v>
      </c>
    </row>
    <row r="275" spans="1:13">
      <c r="A275" t="s">
        <v>453</v>
      </c>
      <c r="H275" t="s">
        <v>458</v>
      </c>
      <c r="K275" t="s">
        <v>60</v>
      </c>
      <c r="L275">
        <v>3</v>
      </c>
      <c r="M275" t="s">
        <v>61</v>
      </c>
    </row>
    <row r="276" spans="1:13">
      <c r="A276" t="s">
        <v>453</v>
      </c>
      <c r="H276" t="s">
        <v>454</v>
      </c>
      <c r="K276" t="s">
        <v>60</v>
      </c>
      <c r="L276">
        <v>0</v>
      </c>
      <c r="M276" t="s">
        <v>64</v>
      </c>
    </row>
    <row r="277" spans="1:13">
      <c r="A277" t="s">
        <v>453</v>
      </c>
      <c r="H277" t="s">
        <v>456</v>
      </c>
      <c r="K277" t="s">
        <v>60</v>
      </c>
      <c r="L277">
        <v>1</v>
      </c>
      <c r="M277" t="s">
        <v>64</v>
      </c>
    </row>
    <row r="278" spans="1:13">
      <c r="A278" t="s">
        <v>453</v>
      </c>
      <c r="H278" t="s">
        <v>457</v>
      </c>
      <c r="K278" t="s">
        <v>60</v>
      </c>
      <c r="L278">
        <v>2</v>
      </c>
      <c r="M278" t="s">
        <v>64</v>
      </c>
    </row>
    <row r="279" spans="1:13">
      <c r="A279" t="s">
        <v>453</v>
      </c>
      <c r="H279" t="s">
        <v>458</v>
      </c>
      <c r="K279" t="s">
        <v>60</v>
      </c>
      <c r="L279">
        <v>3</v>
      </c>
      <c r="M279" t="s">
        <v>64</v>
      </c>
    </row>
    <row r="280" spans="1:13">
      <c r="A280" t="s">
        <v>453</v>
      </c>
      <c r="H280" t="s">
        <v>454</v>
      </c>
      <c r="K280" t="s">
        <v>60</v>
      </c>
      <c r="L280">
        <v>0</v>
      </c>
      <c r="M280" t="s">
        <v>65</v>
      </c>
    </row>
    <row r="281" spans="1:13">
      <c r="A281" t="s">
        <v>453</v>
      </c>
      <c r="H281" t="s">
        <v>456</v>
      </c>
      <c r="K281" t="s">
        <v>60</v>
      </c>
      <c r="L281">
        <v>1</v>
      </c>
      <c r="M281" t="s">
        <v>65</v>
      </c>
    </row>
    <row r="282" spans="1:13">
      <c r="A282" t="s">
        <v>453</v>
      </c>
      <c r="H282" t="s">
        <v>457</v>
      </c>
      <c r="K282" t="s">
        <v>60</v>
      </c>
      <c r="L282">
        <v>2</v>
      </c>
      <c r="M282" t="s">
        <v>65</v>
      </c>
    </row>
    <row r="283" spans="1:13">
      <c r="A283" t="s">
        <v>453</v>
      </c>
      <c r="H283" t="s">
        <v>458</v>
      </c>
      <c r="K283" t="s">
        <v>60</v>
      </c>
      <c r="L283">
        <v>3</v>
      </c>
      <c r="M283" t="s">
        <v>65</v>
      </c>
    </row>
    <row r="284" spans="1:13" ht="84.95">
      <c r="A284" t="s">
        <v>459</v>
      </c>
      <c r="B284">
        <v>0</v>
      </c>
      <c r="H284" t="s">
        <v>460</v>
      </c>
      <c r="I284" s="29" t="s">
        <v>461</v>
      </c>
      <c r="J284" s="29" t="s">
        <v>432</v>
      </c>
      <c r="K284" t="s">
        <v>60</v>
      </c>
      <c r="L284">
        <v>0</v>
      </c>
      <c r="M284" t="s">
        <v>381</v>
      </c>
    </row>
    <row r="285" spans="1:13" ht="84.95">
      <c r="A285" t="s">
        <v>459</v>
      </c>
      <c r="B285">
        <v>0</v>
      </c>
      <c r="H285" t="s">
        <v>462</v>
      </c>
      <c r="I285" s="29" t="s">
        <v>455</v>
      </c>
      <c r="J285" s="29" t="s">
        <v>432</v>
      </c>
      <c r="K285" t="s">
        <v>60</v>
      </c>
      <c r="L285">
        <v>1</v>
      </c>
      <c r="M285" t="s">
        <v>381</v>
      </c>
    </row>
    <row r="286" spans="1:13" ht="84.95">
      <c r="A286" t="s">
        <v>459</v>
      </c>
      <c r="B286">
        <v>0.1215</v>
      </c>
      <c r="H286" t="s">
        <v>463</v>
      </c>
      <c r="I286" s="29" t="s">
        <v>461</v>
      </c>
      <c r="J286" s="29" t="s">
        <v>432</v>
      </c>
      <c r="K286" t="s">
        <v>60</v>
      </c>
      <c r="L286">
        <v>2</v>
      </c>
      <c r="M286" t="s">
        <v>381</v>
      </c>
    </row>
    <row r="287" spans="1:13" ht="84.95">
      <c r="A287" t="s">
        <v>459</v>
      </c>
      <c r="B287">
        <v>0.1215</v>
      </c>
      <c r="H287" t="s">
        <v>464</v>
      </c>
      <c r="I287" s="29" t="s">
        <v>461</v>
      </c>
      <c r="J287" s="29" t="s">
        <v>432</v>
      </c>
      <c r="K287" t="s">
        <v>60</v>
      </c>
      <c r="L287">
        <v>3</v>
      </c>
      <c r="M287" t="s">
        <v>381</v>
      </c>
    </row>
    <row r="288" spans="1:13">
      <c r="A288" t="s">
        <v>459</v>
      </c>
      <c r="H288" t="s">
        <v>460</v>
      </c>
      <c r="K288" t="s">
        <v>60</v>
      </c>
      <c r="L288">
        <v>0</v>
      </c>
      <c r="M288" t="s">
        <v>61</v>
      </c>
    </row>
    <row r="289" spans="1:13">
      <c r="A289" t="s">
        <v>459</v>
      </c>
      <c r="H289" t="s">
        <v>462</v>
      </c>
      <c r="K289" t="s">
        <v>60</v>
      </c>
      <c r="L289">
        <v>1</v>
      </c>
      <c r="M289" t="s">
        <v>61</v>
      </c>
    </row>
    <row r="290" spans="1:13">
      <c r="A290" t="s">
        <v>459</v>
      </c>
      <c r="H290" t="s">
        <v>463</v>
      </c>
      <c r="K290" t="s">
        <v>60</v>
      </c>
      <c r="L290">
        <v>2</v>
      </c>
      <c r="M290" t="s">
        <v>61</v>
      </c>
    </row>
    <row r="291" spans="1:13">
      <c r="A291" t="s">
        <v>459</v>
      </c>
      <c r="H291" t="s">
        <v>464</v>
      </c>
      <c r="K291" t="s">
        <v>60</v>
      </c>
      <c r="L291">
        <v>3</v>
      </c>
      <c r="M291" t="s">
        <v>61</v>
      </c>
    </row>
    <row r="292" spans="1:13">
      <c r="A292" t="s">
        <v>459</v>
      </c>
      <c r="H292" t="s">
        <v>460</v>
      </c>
      <c r="K292" t="s">
        <v>60</v>
      </c>
      <c r="L292">
        <v>0</v>
      </c>
      <c r="M292" t="s">
        <v>64</v>
      </c>
    </row>
    <row r="293" spans="1:13">
      <c r="A293" t="s">
        <v>459</v>
      </c>
      <c r="H293" t="s">
        <v>462</v>
      </c>
      <c r="K293" t="s">
        <v>60</v>
      </c>
      <c r="L293">
        <v>1</v>
      </c>
      <c r="M293" t="s">
        <v>64</v>
      </c>
    </row>
    <row r="294" spans="1:13">
      <c r="A294" t="s">
        <v>459</v>
      </c>
      <c r="H294" t="s">
        <v>463</v>
      </c>
      <c r="K294" t="s">
        <v>60</v>
      </c>
      <c r="L294">
        <v>2</v>
      </c>
      <c r="M294" t="s">
        <v>64</v>
      </c>
    </row>
    <row r="295" spans="1:13">
      <c r="A295" t="s">
        <v>459</v>
      </c>
      <c r="H295" t="s">
        <v>464</v>
      </c>
      <c r="K295" t="s">
        <v>60</v>
      </c>
      <c r="L295">
        <v>3</v>
      </c>
      <c r="M295" t="s">
        <v>64</v>
      </c>
    </row>
    <row r="296" spans="1:13">
      <c r="A296" t="s">
        <v>459</v>
      </c>
      <c r="H296" t="s">
        <v>460</v>
      </c>
      <c r="K296" t="s">
        <v>60</v>
      </c>
      <c r="L296">
        <v>0</v>
      </c>
      <c r="M296" t="s">
        <v>65</v>
      </c>
    </row>
    <row r="297" spans="1:13">
      <c r="A297" t="s">
        <v>459</v>
      </c>
      <c r="H297" t="s">
        <v>462</v>
      </c>
      <c r="K297" t="s">
        <v>60</v>
      </c>
      <c r="L297">
        <v>1</v>
      </c>
      <c r="M297" t="s">
        <v>65</v>
      </c>
    </row>
    <row r="298" spans="1:13">
      <c r="A298" t="s">
        <v>459</v>
      </c>
      <c r="H298" t="s">
        <v>463</v>
      </c>
      <c r="K298" t="s">
        <v>60</v>
      </c>
      <c r="L298">
        <v>2</v>
      </c>
      <c r="M298" t="s">
        <v>65</v>
      </c>
    </row>
    <row r="299" spans="1:13">
      <c r="A299" t="s">
        <v>459</v>
      </c>
      <c r="H299" t="s">
        <v>464</v>
      </c>
      <c r="K299" t="s">
        <v>60</v>
      </c>
      <c r="L299">
        <v>3</v>
      </c>
      <c r="M299" t="s">
        <v>65</v>
      </c>
    </row>
    <row r="300" spans="1:13" ht="84.95">
      <c r="A300" t="s">
        <v>465</v>
      </c>
      <c r="B300">
        <v>0</v>
      </c>
      <c r="H300" t="s">
        <v>466</v>
      </c>
      <c r="I300" s="29" t="s">
        <v>455</v>
      </c>
      <c r="J300" s="29" t="s">
        <v>432</v>
      </c>
      <c r="K300" t="s">
        <v>60</v>
      </c>
      <c r="L300">
        <v>0</v>
      </c>
      <c r="M300" t="s">
        <v>381</v>
      </c>
    </row>
    <row r="301" spans="1:13" ht="84.95">
      <c r="A301" t="s">
        <v>465</v>
      </c>
      <c r="B301">
        <v>5.6800000000000003E-2</v>
      </c>
      <c r="H301" t="s">
        <v>467</v>
      </c>
      <c r="I301" s="29" t="s">
        <v>455</v>
      </c>
      <c r="J301" s="29" t="s">
        <v>432</v>
      </c>
      <c r="K301" t="s">
        <v>60</v>
      </c>
      <c r="L301">
        <v>1</v>
      </c>
      <c r="M301" t="s">
        <v>381</v>
      </c>
    </row>
    <row r="302" spans="1:13" ht="84.95">
      <c r="A302" t="s">
        <v>465</v>
      </c>
      <c r="B302">
        <v>0.1215</v>
      </c>
      <c r="H302" t="s">
        <v>468</v>
      </c>
      <c r="I302" s="29" t="s">
        <v>455</v>
      </c>
      <c r="J302" s="29" t="s">
        <v>432</v>
      </c>
      <c r="K302" t="s">
        <v>60</v>
      </c>
      <c r="L302">
        <v>2</v>
      </c>
      <c r="M302" t="s">
        <v>381</v>
      </c>
    </row>
    <row r="303" spans="1:13" ht="84.95">
      <c r="A303" t="s">
        <v>465</v>
      </c>
      <c r="B303">
        <v>0.1215</v>
      </c>
      <c r="H303" t="s">
        <v>469</v>
      </c>
      <c r="I303" s="29" t="s">
        <v>455</v>
      </c>
      <c r="J303" s="29" t="s">
        <v>432</v>
      </c>
      <c r="K303" t="s">
        <v>60</v>
      </c>
      <c r="L303">
        <v>3</v>
      </c>
      <c r="M303" t="s">
        <v>381</v>
      </c>
    </row>
    <row r="304" spans="1:13">
      <c r="A304" t="s">
        <v>465</v>
      </c>
      <c r="H304" t="s">
        <v>466</v>
      </c>
      <c r="K304" t="s">
        <v>60</v>
      </c>
      <c r="L304">
        <v>0</v>
      </c>
      <c r="M304" t="s">
        <v>61</v>
      </c>
    </row>
    <row r="305" spans="1:13">
      <c r="A305" t="s">
        <v>465</v>
      </c>
      <c r="H305" t="s">
        <v>467</v>
      </c>
      <c r="K305" t="s">
        <v>60</v>
      </c>
      <c r="L305">
        <v>1</v>
      </c>
      <c r="M305" t="s">
        <v>61</v>
      </c>
    </row>
    <row r="306" spans="1:13">
      <c r="A306" t="s">
        <v>465</v>
      </c>
      <c r="H306" t="s">
        <v>468</v>
      </c>
      <c r="K306" t="s">
        <v>60</v>
      </c>
      <c r="L306">
        <v>2</v>
      </c>
      <c r="M306" t="s">
        <v>61</v>
      </c>
    </row>
    <row r="307" spans="1:13">
      <c r="A307" t="s">
        <v>465</v>
      </c>
      <c r="H307" t="s">
        <v>469</v>
      </c>
      <c r="K307" t="s">
        <v>60</v>
      </c>
      <c r="L307">
        <v>3</v>
      </c>
      <c r="M307" t="s">
        <v>61</v>
      </c>
    </row>
    <row r="308" spans="1:13">
      <c r="A308" t="s">
        <v>465</v>
      </c>
      <c r="H308" t="s">
        <v>466</v>
      </c>
      <c r="K308" t="s">
        <v>60</v>
      </c>
      <c r="L308">
        <v>0</v>
      </c>
      <c r="M308" t="s">
        <v>64</v>
      </c>
    </row>
    <row r="309" spans="1:13">
      <c r="A309" t="s">
        <v>465</v>
      </c>
      <c r="H309" t="s">
        <v>467</v>
      </c>
      <c r="K309" t="s">
        <v>60</v>
      </c>
      <c r="L309">
        <v>1</v>
      </c>
      <c r="M309" t="s">
        <v>64</v>
      </c>
    </row>
    <row r="310" spans="1:13">
      <c r="A310" t="s">
        <v>465</v>
      </c>
      <c r="H310" t="s">
        <v>468</v>
      </c>
      <c r="K310" t="s">
        <v>60</v>
      </c>
      <c r="L310">
        <v>2</v>
      </c>
      <c r="M310" t="s">
        <v>64</v>
      </c>
    </row>
    <row r="311" spans="1:13">
      <c r="A311" t="s">
        <v>465</v>
      </c>
      <c r="H311" t="s">
        <v>469</v>
      </c>
      <c r="K311" t="s">
        <v>60</v>
      </c>
      <c r="L311">
        <v>3</v>
      </c>
      <c r="M311" t="s">
        <v>64</v>
      </c>
    </row>
    <row r="312" spans="1:13">
      <c r="A312" t="s">
        <v>465</v>
      </c>
      <c r="H312" t="s">
        <v>466</v>
      </c>
      <c r="K312" t="s">
        <v>60</v>
      </c>
      <c r="L312">
        <v>0</v>
      </c>
      <c r="M312" t="s">
        <v>65</v>
      </c>
    </row>
    <row r="313" spans="1:13">
      <c r="A313" t="s">
        <v>465</v>
      </c>
      <c r="H313" t="s">
        <v>467</v>
      </c>
      <c r="K313" t="s">
        <v>60</v>
      </c>
      <c r="L313">
        <v>1</v>
      </c>
      <c r="M313" t="s">
        <v>65</v>
      </c>
    </row>
    <row r="314" spans="1:13">
      <c r="A314" t="s">
        <v>465</v>
      </c>
      <c r="H314" t="s">
        <v>468</v>
      </c>
      <c r="K314" t="s">
        <v>60</v>
      </c>
      <c r="L314">
        <v>2</v>
      </c>
      <c r="M314" t="s">
        <v>65</v>
      </c>
    </row>
    <row r="315" spans="1:13">
      <c r="A315" t="s">
        <v>465</v>
      </c>
      <c r="H315" t="s">
        <v>469</v>
      </c>
      <c r="K315" t="s">
        <v>60</v>
      </c>
      <c r="L315">
        <v>3</v>
      </c>
      <c r="M315" t="s">
        <v>65</v>
      </c>
    </row>
    <row r="316" spans="1:13" ht="84.95">
      <c r="A316" t="s">
        <v>470</v>
      </c>
      <c r="B316">
        <v>0</v>
      </c>
      <c r="H316" t="s">
        <v>471</v>
      </c>
      <c r="I316" s="29" t="s">
        <v>461</v>
      </c>
      <c r="J316" s="29" t="s">
        <v>432</v>
      </c>
      <c r="K316" t="s">
        <v>60</v>
      </c>
      <c r="L316">
        <v>0</v>
      </c>
      <c r="M316" t="s">
        <v>381</v>
      </c>
    </row>
    <row r="317" spans="1:13" ht="84.95">
      <c r="A317" t="s">
        <v>470</v>
      </c>
      <c r="B317">
        <v>0</v>
      </c>
      <c r="H317" t="s">
        <v>472</v>
      </c>
      <c r="J317" s="29" t="s">
        <v>432</v>
      </c>
      <c r="K317" t="s">
        <v>60</v>
      </c>
      <c r="L317">
        <v>1</v>
      </c>
      <c r="M317" t="s">
        <v>381</v>
      </c>
    </row>
    <row r="318" spans="1:13" ht="84.95">
      <c r="A318" t="s">
        <v>470</v>
      </c>
      <c r="B318">
        <v>0.1215</v>
      </c>
      <c r="H318" t="s">
        <v>473</v>
      </c>
      <c r="I318" s="29" t="s">
        <v>461</v>
      </c>
      <c r="J318" s="29" t="s">
        <v>432</v>
      </c>
      <c r="K318" t="s">
        <v>60</v>
      </c>
      <c r="L318">
        <v>2</v>
      </c>
      <c r="M318" t="s">
        <v>381</v>
      </c>
    </row>
    <row r="319" spans="1:13" ht="84.95">
      <c r="A319" t="s">
        <v>470</v>
      </c>
      <c r="B319">
        <v>0.1215</v>
      </c>
      <c r="H319" t="s">
        <v>474</v>
      </c>
      <c r="I319" s="29" t="s">
        <v>461</v>
      </c>
      <c r="J319" s="29" t="s">
        <v>432</v>
      </c>
      <c r="K319" t="s">
        <v>60</v>
      </c>
      <c r="L319">
        <v>3</v>
      </c>
      <c r="M319" t="s">
        <v>381</v>
      </c>
    </row>
    <row r="320" spans="1:13">
      <c r="A320" t="s">
        <v>470</v>
      </c>
      <c r="H320" t="s">
        <v>471</v>
      </c>
      <c r="K320" t="s">
        <v>60</v>
      </c>
      <c r="L320">
        <v>0</v>
      </c>
      <c r="M320" t="s">
        <v>61</v>
      </c>
    </row>
    <row r="321" spans="1:13">
      <c r="A321" t="s">
        <v>470</v>
      </c>
      <c r="H321" t="s">
        <v>472</v>
      </c>
      <c r="K321" t="s">
        <v>60</v>
      </c>
      <c r="L321">
        <v>1</v>
      </c>
      <c r="M321" t="s">
        <v>61</v>
      </c>
    </row>
    <row r="322" spans="1:13">
      <c r="A322" t="s">
        <v>470</v>
      </c>
      <c r="H322" t="s">
        <v>473</v>
      </c>
      <c r="K322" t="s">
        <v>60</v>
      </c>
      <c r="L322">
        <v>2</v>
      </c>
      <c r="M322" t="s">
        <v>61</v>
      </c>
    </row>
    <row r="323" spans="1:13">
      <c r="A323" t="s">
        <v>470</v>
      </c>
      <c r="H323" t="s">
        <v>474</v>
      </c>
      <c r="K323" t="s">
        <v>60</v>
      </c>
      <c r="L323">
        <v>3</v>
      </c>
      <c r="M323" t="s">
        <v>61</v>
      </c>
    </row>
    <row r="324" spans="1:13">
      <c r="A324" t="s">
        <v>470</v>
      </c>
      <c r="H324" t="s">
        <v>471</v>
      </c>
      <c r="K324" t="s">
        <v>60</v>
      </c>
      <c r="L324">
        <v>0</v>
      </c>
      <c r="M324" t="s">
        <v>64</v>
      </c>
    </row>
    <row r="325" spans="1:13">
      <c r="A325" t="s">
        <v>470</v>
      </c>
      <c r="H325" t="s">
        <v>472</v>
      </c>
      <c r="K325" t="s">
        <v>60</v>
      </c>
      <c r="L325">
        <v>1</v>
      </c>
      <c r="M325" t="s">
        <v>64</v>
      </c>
    </row>
    <row r="326" spans="1:13">
      <c r="A326" t="s">
        <v>470</v>
      </c>
      <c r="H326" t="s">
        <v>473</v>
      </c>
      <c r="K326" t="s">
        <v>60</v>
      </c>
      <c r="L326">
        <v>2</v>
      </c>
      <c r="M326" t="s">
        <v>64</v>
      </c>
    </row>
    <row r="327" spans="1:13">
      <c r="A327" t="s">
        <v>470</v>
      </c>
      <c r="H327" t="s">
        <v>474</v>
      </c>
      <c r="K327" t="s">
        <v>60</v>
      </c>
      <c r="L327">
        <v>3</v>
      </c>
      <c r="M327" t="s">
        <v>64</v>
      </c>
    </row>
    <row r="328" spans="1:13">
      <c r="A328" t="s">
        <v>470</v>
      </c>
      <c r="H328" t="s">
        <v>471</v>
      </c>
      <c r="K328" t="s">
        <v>60</v>
      </c>
      <c r="L328">
        <v>0</v>
      </c>
      <c r="M328" t="s">
        <v>65</v>
      </c>
    </row>
    <row r="329" spans="1:13">
      <c r="A329" t="s">
        <v>470</v>
      </c>
      <c r="H329" t="s">
        <v>472</v>
      </c>
      <c r="K329" t="s">
        <v>60</v>
      </c>
      <c r="L329">
        <v>1</v>
      </c>
      <c r="M329" t="s">
        <v>65</v>
      </c>
    </row>
    <row r="330" spans="1:13">
      <c r="A330" t="s">
        <v>470</v>
      </c>
      <c r="H330" t="s">
        <v>473</v>
      </c>
      <c r="K330" t="s">
        <v>60</v>
      </c>
      <c r="L330">
        <v>2</v>
      </c>
      <c r="M330" t="s">
        <v>65</v>
      </c>
    </row>
    <row r="331" spans="1:13">
      <c r="A331" t="s">
        <v>470</v>
      </c>
      <c r="H331" t="s">
        <v>474</v>
      </c>
      <c r="K331" t="s">
        <v>60</v>
      </c>
      <c r="L331">
        <v>3</v>
      </c>
      <c r="M331" t="s">
        <v>65</v>
      </c>
    </row>
    <row r="332" spans="1:13" ht="84.95">
      <c r="A332" t="s">
        <v>475</v>
      </c>
      <c r="B332">
        <v>5.3E-3</v>
      </c>
      <c r="H332" t="s">
        <v>476</v>
      </c>
      <c r="J332" s="29" t="s">
        <v>477</v>
      </c>
      <c r="K332" t="s">
        <v>60</v>
      </c>
      <c r="M332" t="s">
        <v>381</v>
      </c>
    </row>
    <row r="333" spans="1:13">
      <c r="A333" t="s">
        <v>475</v>
      </c>
      <c r="H333" t="s">
        <v>476</v>
      </c>
      <c r="K333" t="s">
        <v>60</v>
      </c>
      <c r="M333" t="s">
        <v>61</v>
      </c>
    </row>
    <row r="334" spans="1:13">
      <c r="A334" t="s">
        <v>475</v>
      </c>
      <c r="H334" t="s">
        <v>476</v>
      </c>
      <c r="K334" t="s">
        <v>60</v>
      </c>
      <c r="M334" t="s">
        <v>64</v>
      </c>
    </row>
    <row r="335" spans="1:13">
      <c r="A335" t="s">
        <v>475</v>
      </c>
      <c r="H335" t="s">
        <v>476</v>
      </c>
      <c r="K335" t="s">
        <v>60</v>
      </c>
      <c r="M335" t="s">
        <v>65</v>
      </c>
    </row>
    <row r="336" spans="1:13" ht="84.95">
      <c r="A336" t="s">
        <v>478</v>
      </c>
      <c r="B336">
        <v>2</v>
      </c>
      <c r="H336" t="s">
        <v>479</v>
      </c>
      <c r="J336" s="29" t="s">
        <v>477</v>
      </c>
      <c r="K336" t="s">
        <v>60</v>
      </c>
      <c r="M336" t="s">
        <v>381</v>
      </c>
    </row>
    <row r="337" spans="1:13">
      <c r="A337" t="s">
        <v>478</v>
      </c>
      <c r="H337" t="s">
        <v>479</v>
      </c>
      <c r="K337" t="s">
        <v>60</v>
      </c>
      <c r="M337" t="s">
        <v>61</v>
      </c>
    </row>
    <row r="338" spans="1:13">
      <c r="A338" t="s">
        <v>478</v>
      </c>
      <c r="H338" t="s">
        <v>479</v>
      </c>
      <c r="K338" t="s">
        <v>60</v>
      </c>
      <c r="M338" t="s">
        <v>64</v>
      </c>
    </row>
    <row r="339" spans="1:13">
      <c r="A339" t="s">
        <v>478</v>
      </c>
      <c r="H339" t="s">
        <v>479</v>
      </c>
      <c r="K339" t="s">
        <v>60</v>
      </c>
      <c r="M339" t="s">
        <v>65</v>
      </c>
    </row>
    <row r="340" spans="1:13" ht="84.95">
      <c r="A340" t="s">
        <v>480</v>
      </c>
      <c r="B340">
        <v>0.47599999999999998</v>
      </c>
      <c r="H340" t="s">
        <v>481</v>
      </c>
      <c r="J340" s="29" t="s">
        <v>477</v>
      </c>
      <c r="K340" t="s">
        <v>60</v>
      </c>
      <c r="M340" t="s">
        <v>381</v>
      </c>
    </row>
    <row r="341" spans="1:13">
      <c r="A341" t="s">
        <v>480</v>
      </c>
      <c r="H341" t="s">
        <v>481</v>
      </c>
      <c r="K341" t="s">
        <v>60</v>
      </c>
      <c r="M341" t="s">
        <v>61</v>
      </c>
    </row>
    <row r="342" spans="1:13">
      <c r="A342" t="s">
        <v>480</v>
      </c>
      <c r="H342" t="s">
        <v>481</v>
      </c>
      <c r="K342" t="s">
        <v>60</v>
      </c>
      <c r="M342" t="s">
        <v>64</v>
      </c>
    </row>
    <row r="343" spans="1:13">
      <c r="A343" t="s">
        <v>480</v>
      </c>
      <c r="H343" t="s">
        <v>481</v>
      </c>
      <c r="K343" t="s">
        <v>60</v>
      </c>
      <c r="M343" t="s">
        <v>65</v>
      </c>
    </row>
    <row r="344" spans="1:13" ht="84.95">
      <c r="A344" t="s">
        <v>482</v>
      </c>
      <c r="B344">
        <v>2</v>
      </c>
      <c r="H344" t="s">
        <v>483</v>
      </c>
      <c r="J344" s="29" t="s">
        <v>477</v>
      </c>
      <c r="K344" t="s">
        <v>60</v>
      </c>
      <c r="M344" t="s">
        <v>381</v>
      </c>
    </row>
    <row r="345" spans="1:13">
      <c r="A345" t="s">
        <v>482</v>
      </c>
      <c r="H345" t="s">
        <v>483</v>
      </c>
      <c r="K345" t="s">
        <v>60</v>
      </c>
      <c r="M345" t="s">
        <v>61</v>
      </c>
    </row>
    <row r="346" spans="1:13">
      <c r="A346" t="s">
        <v>482</v>
      </c>
      <c r="H346" t="s">
        <v>483</v>
      </c>
      <c r="K346" t="s">
        <v>60</v>
      </c>
      <c r="M346" t="s">
        <v>64</v>
      </c>
    </row>
    <row r="347" spans="1:13">
      <c r="A347" t="s">
        <v>482</v>
      </c>
      <c r="H347" t="s">
        <v>483</v>
      </c>
      <c r="K347" t="s">
        <v>60</v>
      </c>
      <c r="M347" t="s">
        <v>65</v>
      </c>
    </row>
    <row r="348" spans="1:13" ht="84.95">
      <c r="A348" t="s">
        <v>484</v>
      </c>
      <c r="B348">
        <v>0.1855</v>
      </c>
      <c r="H348" t="s">
        <v>485</v>
      </c>
      <c r="J348" s="29" t="s">
        <v>477</v>
      </c>
      <c r="K348" t="s">
        <v>60</v>
      </c>
      <c r="M348" t="s">
        <v>381</v>
      </c>
    </row>
    <row r="349" spans="1:13">
      <c r="A349" t="s">
        <v>484</v>
      </c>
      <c r="H349" t="s">
        <v>485</v>
      </c>
      <c r="K349" t="s">
        <v>60</v>
      </c>
      <c r="M349" t="s">
        <v>61</v>
      </c>
    </row>
    <row r="350" spans="1:13">
      <c r="A350" t="s">
        <v>484</v>
      </c>
      <c r="H350" t="s">
        <v>485</v>
      </c>
      <c r="K350" t="s">
        <v>60</v>
      </c>
      <c r="M350" t="s">
        <v>64</v>
      </c>
    </row>
    <row r="351" spans="1:13">
      <c r="A351" t="s">
        <v>484</v>
      </c>
      <c r="H351" t="s">
        <v>485</v>
      </c>
      <c r="K351" t="s">
        <v>60</v>
      </c>
      <c r="M351" t="s">
        <v>65</v>
      </c>
    </row>
    <row r="352" spans="1:13" ht="84.95">
      <c r="A352" t="s">
        <v>486</v>
      </c>
      <c r="B352">
        <v>2</v>
      </c>
      <c r="H352" t="s">
        <v>487</v>
      </c>
      <c r="J352" s="29" t="s">
        <v>477</v>
      </c>
      <c r="K352" t="s">
        <v>60</v>
      </c>
      <c r="M352" t="s">
        <v>381</v>
      </c>
    </row>
    <row r="353" spans="1:13">
      <c r="A353" t="s">
        <v>486</v>
      </c>
      <c r="H353" t="s">
        <v>487</v>
      </c>
      <c r="K353" t="s">
        <v>60</v>
      </c>
      <c r="M353" t="s">
        <v>61</v>
      </c>
    </row>
    <row r="354" spans="1:13">
      <c r="A354" t="s">
        <v>486</v>
      </c>
      <c r="H354" t="s">
        <v>487</v>
      </c>
      <c r="K354" t="s">
        <v>60</v>
      </c>
      <c r="M354" t="s">
        <v>64</v>
      </c>
    </row>
    <row r="355" spans="1:13">
      <c r="A355" t="s">
        <v>486</v>
      </c>
      <c r="H355" t="s">
        <v>487</v>
      </c>
      <c r="K355" t="s">
        <v>60</v>
      </c>
      <c r="M355" t="s">
        <v>65</v>
      </c>
    </row>
    <row r="356" spans="1:13" ht="84.95">
      <c r="A356" t="s">
        <v>488</v>
      </c>
      <c r="B356">
        <v>0.14560000000000001</v>
      </c>
      <c r="H356" t="s">
        <v>489</v>
      </c>
      <c r="J356" s="29" t="s">
        <v>477</v>
      </c>
      <c r="K356" t="s">
        <v>60</v>
      </c>
      <c r="M356" t="s">
        <v>381</v>
      </c>
    </row>
    <row r="357" spans="1:13">
      <c r="A357" t="s">
        <v>488</v>
      </c>
      <c r="H357" t="s">
        <v>489</v>
      </c>
      <c r="K357" t="s">
        <v>60</v>
      </c>
      <c r="M357" t="s">
        <v>61</v>
      </c>
    </row>
    <row r="358" spans="1:13">
      <c r="A358" t="s">
        <v>488</v>
      </c>
      <c r="H358" t="s">
        <v>489</v>
      </c>
      <c r="K358" t="s">
        <v>60</v>
      </c>
      <c r="M358" t="s">
        <v>64</v>
      </c>
    </row>
    <row r="359" spans="1:13">
      <c r="A359" t="s">
        <v>488</v>
      </c>
      <c r="H359" t="s">
        <v>489</v>
      </c>
      <c r="K359" t="s">
        <v>60</v>
      </c>
      <c r="M359" t="s">
        <v>65</v>
      </c>
    </row>
    <row r="360" spans="1:13" ht="84.95">
      <c r="A360" t="s">
        <v>490</v>
      </c>
      <c r="B360">
        <v>2.6661000000000001</v>
      </c>
      <c r="H360" t="s">
        <v>491</v>
      </c>
      <c r="J360" s="29" t="s">
        <v>477</v>
      </c>
      <c r="K360" t="s">
        <v>60</v>
      </c>
      <c r="M360" t="s">
        <v>381</v>
      </c>
    </row>
    <row r="361" spans="1:13">
      <c r="A361" t="s">
        <v>490</v>
      </c>
      <c r="H361" t="s">
        <v>491</v>
      </c>
      <c r="K361" t="s">
        <v>60</v>
      </c>
      <c r="M361" t="s">
        <v>61</v>
      </c>
    </row>
    <row r="362" spans="1:13">
      <c r="A362" t="s">
        <v>490</v>
      </c>
      <c r="H362" t="s">
        <v>491</v>
      </c>
      <c r="K362" t="s">
        <v>60</v>
      </c>
      <c r="M362" t="s">
        <v>64</v>
      </c>
    </row>
    <row r="363" spans="1:13">
      <c r="A363" t="s">
        <v>490</v>
      </c>
      <c r="H363" t="s">
        <v>491</v>
      </c>
      <c r="K363" t="s">
        <v>60</v>
      </c>
      <c r="M363" t="s">
        <v>65</v>
      </c>
    </row>
    <row r="364" spans="1:13" ht="84.95">
      <c r="A364" t="s">
        <v>492</v>
      </c>
      <c r="B364">
        <v>5.0099999999999999E-2</v>
      </c>
      <c r="H364" t="s">
        <v>493</v>
      </c>
      <c r="J364" s="29" t="s">
        <v>477</v>
      </c>
      <c r="K364" t="s">
        <v>60</v>
      </c>
      <c r="M364" t="s">
        <v>381</v>
      </c>
    </row>
    <row r="365" spans="1:13">
      <c r="A365" t="s">
        <v>492</v>
      </c>
      <c r="H365" t="s">
        <v>493</v>
      </c>
      <c r="K365" t="s">
        <v>60</v>
      </c>
      <c r="M365" t="s">
        <v>61</v>
      </c>
    </row>
    <row r="366" spans="1:13">
      <c r="A366" t="s">
        <v>492</v>
      </c>
      <c r="H366" t="s">
        <v>493</v>
      </c>
      <c r="K366" t="s">
        <v>60</v>
      </c>
      <c r="M366" t="s">
        <v>64</v>
      </c>
    </row>
    <row r="367" spans="1:13">
      <c r="A367" t="s">
        <v>492</v>
      </c>
      <c r="H367" t="s">
        <v>493</v>
      </c>
      <c r="K367" t="s">
        <v>60</v>
      </c>
      <c r="M367" t="s">
        <v>65</v>
      </c>
    </row>
    <row r="368" spans="1:13" ht="68.099999999999994">
      <c r="A368" t="s">
        <v>494</v>
      </c>
      <c r="B368">
        <v>0.23499999999999999</v>
      </c>
      <c r="H368" t="s">
        <v>495</v>
      </c>
      <c r="J368" s="29" t="s">
        <v>496</v>
      </c>
      <c r="K368" t="s">
        <v>60</v>
      </c>
      <c r="M368" t="s">
        <v>381</v>
      </c>
    </row>
    <row r="369" spans="1:13">
      <c r="A369" t="s">
        <v>494</v>
      </c>
      <c r="H369" t="s">
        <v>495</v>
      </c>
      <c r="K369" t="s">
        <v>60</v>
      </c>
      <c r="M369" t="s">
        <v>61</v>
      </c>
    </row>
    <row r="370" spans="1:13">
      <c r="A370" t="s">
        <v>494</v>
      </c>
      <c r="H370" t="s">
        <v>495</v>
      </c>
      <c r="K370" t="s">
        <v>60</v>
      </c>
      <c r="M370" t="s">
        <v>64</v>
      </c>
    </row>
    <row r="371" spans="1:13">
      <c r="A371" t="s">
        <v>494</v>
      </c>
      <c r="H371" t="s">
        <v>495</v>
      </c>
      <c r="K371" t="s">
        <v>60</v>
      </c>
      <c r="M371" t="s">
        <v>65</v>
      </c>
    </row>
    <row r="372" spans="1:13" ht="68.099999999999994">
      <c r="A372" t="s">
        <v>497</v>
      </c>
      <c r="B372">
        <v>3.15</v>
      </c>
      <c r="H372" t="s">
        <v>498</v>
      </c>
      <c r="J372" s="29" t="s">
        <v>496</v>
      </c>
      <c r="K372" t="s">
        <v>60</v>
      </c>
      <c r="M372" t="s">
        <v>381</v>
      </c>
    </row>
    <row r="373" spans="1:13">
      <c r="A373" t="s">
        <v>497</v>
      </c>
      <c r="H373" t="s">
        <v>498</v>
      </c>
      <c r="K373" t="s">
        <v>60</v>
      </c>
      <c r="M373" t="s">
        <v>61</v>
      </c>
    </row>
    <row r="374" spans="1:13">
      <c r="A374" t="s">
        <v>497</v>
      </c>
      <c r="H374" t="s">
        <v>498</v>
      </c>
      <c r="K374" t="s">
        <v>60</v>
      </c>
      <c r="M374" t="s">
        <v>64</v>
      </c>
    </row>
    <row r="375" spans="1:13">
      <c r="A375" t="s">
        <v>497</v>
      </c>
      <c r="H375" t="s">
        <v>498</v>
      </c>
      <c r="K375" t="s">
        <v>60</v>
      </c>
      <c r="M375" t="s">
        <v>65</v>
      </c>
    </row>
    <row r="376" spans="1:13" ht="84.95">
      <c r="A376" t="s">
        <v>499</v>
      </c>
      <c r="B376">
        <v>80.948499999999996</v>
      </c>
      <c r="H376" t="s">
        <v>500</v>
      </c>
      <c r="I376" s="29" t="s">
        <v>501</v>
      </c>
      <c r="J376" s="29" t="s">
        <v>432</v>
      </c>
      <c r="K376" t="s">
        <v>60</v>
      </c>
      <c r="M376" t="s">
        <v>381</v>
      </c>
    </row>
    <row r="377" spans="1:13">
      <c r="A377" t="s">
        <v>499</v>
      </c>
      <c r="H377" t="s">
        <v>500</v>
      </c>
      <c r="K377" t="s">
        <v>60</v>
      </c>
      <c r="M377" t="s">
        <v>61</v>
      </c>
    </row>
    <row r="378" spans="1:13">
      <c r="A378" t="s">
        <v>499</v>
      </c>
      <c r="H378" t="s">
        <v>500</v>
      </c>
      <c r="K378" t="s">
        <v>60</v>
      </c>
      <c r="M378" t="s">
        <v>64</v>
      </c>
    </row>
    <row r="379" spans="1:13">
      <c r="A379" t="s">
        <v>499</v>
      </c>
      <c r="H379" t="s">
        <v>500</v>
      </c>
      <c r="K379" t="s">
        <v>60</v>
      </c>
      <c r="M379" t="s">
        <v>65</v>
      </c>
    </row>
    <row r="380" spans="1:13" ht="84.95">
      <c r="A380" t="s">
        <v>502</v>
      </c>
      <c r="B380">
        <v>74.235799999999998</v>
      </c>
      <c r="H380" t="s">
        <v>503</v>
      </c>
      <c r="I380" s="29" t="s">
        <v>504</v>
      </c>
      <c r="J380" s="29" t="s">
        <v>432</v>
      </c>
      <c r="K380" t="s">
        <v>60</v>
      </c>
      <c r="M380" t="s">
        <v>381</v>
      </c>
    </row>
    <row r="381" spans="1:13">
      <c r="A381" t="s">
        <v>502</v>
      </c>
      <c r="H381" t="s">
        <v>503</v>
      </c>
      <c r="K381" t="s">
        <v>60</v>
      </c>
      <c r="M381" t="s">
        <v>61</v>
      </c>
    </row>
    <row r="382" spans="1:13">
      <c r="A382" t="s">
        <v>502</v>
      </c>
      <c r="H382" t="s">
        <v>503</v>
      </c>
      <c r="K382" t="s">
        <v>60</v>
      </c>
      <c r="M382" t="s">
        <v>64</v>
      </c>
    </row>
    <row r="383" spans="1:13">
      <c r="A383" t="s">
        <v>502</v>
      </c>
      <c r="H383" t="s">
        <v>503</v>
      </c>
      <c r="K383" t="s">
        <v>60</v>
      </c>
      <c r="M383" t="s">
        <v>65</v>
      </c>
    </row>
    <row r="384" spans="1:13" ht="84.95">
      <c r="A384" t="s">
        <v>505</v>
      </c>
      <c r="B384">
        <v>90</v>
      </c>
      <c r="H384" t="s">
        <v>506</v>
      </c>
      <c r="I384" s="29" t="s">
        <v>507</v>
      </c>
      <c r="J384" s="29" t="s">
        <v>432</v>
      </c>
      <c r="K384" t="s">
        <v>60</v>
      </c>
      <c r="M384" t="s">
        <v>381</v>
      </c>
    </row>
    <row r="385" spans="1:14">
      <c r="A385" t="s">
        <v>505</v>
      </c>
      <c r="H385" t="s">
        <v>506</v>
      </c>
      <c r="K385" t="s">
        <v>60</v>
      </c>
      <c r="M385" t="s">
        <v>61</v>
      </c>
    </row>
    <row r="386" spans="1:14">
      <c r="A386" t="s">
        <v>505</v>
      </c>
      <c r="H386" t="s">
        <v>506</v>
      </c>
      <c r="K386" t="s">
        <v>60</v>
      </c>
      <c r="M386" t="s">
        <v>64</v>
      </c>
    </row>
    <row r="387" spans="1:14">
      <c r="A387" t="s">
        <v>505</v>
      </c>
      <c r="H387" t="s">
        <v>506</v>
      </c>
      <c r="K387" t="s">
        <v>60</v>
      </c>
      <c r="M387" t="s">
        <v>65</v>
      </c>
    </row>
    <row r="388" spans="1:14" ht="17.100000000000001">
      <c r="A388" t="s">
        <v>508</v>
      </c>
      <c r="B388">
        <v>1977.42</v>
      </c>
      <c r="H388" t="s">
        <v>509</v>
      </c>
      <c r="J388" s="29" t="s">
        <v>510</v>
      </c>
      <c r="K388" t="s">
        <v>46</v>
      </c>
      <c r="L388">
        <v>0</v>
      </c>
      <c r="M388" t="s">
        <v>381</v>
      </c>
      <c r="N388" t="s">
        <v>511</v>
      </c>
    </row>
    <row r="389" spans="1:14" ht="17.100000000000001">
      <c r="A389" t="s">
        <v>508</v>
      </c>
      <c r="B389">
        <v>1516.33</v>
      </c>
      <c r="H389" t="s">
        <v>512</v>
      </c>
      <c r="J389" s="29" t="s">
        <v>513</v>
      </c>
      <c r="K389" t="s">
        <v>46</v>
      </c>
      <c r="L389">
        <v>1</v>
      </c>
      <c r="M389" t="s">
        <v>381</v>
      </c>
      <c r="N389" t="s">
        <v>514</v>
      </c>
    </row>
    <row r="390" spans="1:14" ht="17.100000000000001">
      <c r="A390" t="s">
        <v>508</v>
      </c>
      <c r="B390">
        <v>1725.75</v>
      </c>
      <c r="H390" t="s">
        <v>515</v>
      </c>
      <c r="J390" s="29" t="s">
        <v>513</v>
      </c>
      <c r="K390" t="s">
        <v>46</v>
      </c>
      <c r="L390">
        <v>2</v>
      </c>
      <c r="M390" t="s">
        <v>381</v>
      </c>
      <c r="N390" t="s">
        <v>516</v>
      </c>
    </row>
    <row r="391" spans="1:14" ht="17.100000000000001">
      <c r="A391" t="s">
        <v>508</v>
      </c>
      <c r="B391">
        <v>427.17</v>
      </c>
      <c r="H391" t="s">
        <v>517</v>
      </c>
      <c r="J391" s="29" t="s">
        <v>513</v>
      </c>
      <c r="K391" t="s">
        <v>46</v>
      </c>
      <c r="L391">
        <v>3</v>
      </c>
      <c r="M391" t="s">
        <v>381</v>
      </c>
      <c r="N391" t="s">
        <v>518</v>
      </c>
    </row>
    <row r="392" spans="1:14">
      <c r="A392" t="s">
        <v>508</v>
      </c>
      <c r="B392">
        <v>46.32</v>
      </c>
      <c r="H392" t="s">
        <v>519</v>
      </c>
      <c r="K392" t="s">
        <v>46</v>
      </c>
      <c r="L392">
        <v>0</v>
      </c>
      <c r="M392" t="s">
        <v>61</v>
      </c>
      <c r="N392" t="s">
        <v>511</v>
      </c>
    </row>
    <row r="393" spans="1:14" ht="84.95">
      <c r="A393" t="s">
        <v>508</v>
      </c>
      <c r="B393">
        <v>484.67</v>
      </c>
      <c r="H393" t="s">
        <v>520</v>
      </c>
      <c r="I393" s="29" t="s">
        <v>521</v>
      </c>
      <c r="J393" s="29" t="s">
        <v>67</v>
      </c>
      <c r="K393" t="s">
        <v>46</v>
      </c>
      <c r="L393">
        <v>1</v>
      </c>
      <c r="M393" t="s">
        <v>61</v>
      </c>
      <c r="N393" t="s">
        <v>514</v>
      </c>
    </row>
    <row r="394" spans="1:14" ht="84.95">
      <c r="A394" t="s">
        <v>508</v>
      </c>
      <c r="B394">
        <v>1448.1</v>
      </c>
      <c r="H394" t="s">
        <v>522</v>
      </c>
      <c r="I394" s="29" t="s">
        <v>521</v>
      </c>
      <c r="J394" s="29" t="s">
        <v>67</v>
      </c>
      <c r="K394" t="s">
        <v>46</v>
      </c>
      <c r="L394">
        <v>2</v>
      </c>
      <c r="M394" t="s">
        <v>61</v>
      </c>
      <c r="N394" t="s">
        <v>516</v>
      </c>
    </row>
    <row r="395" spans="1:14" ht="84.95">
      <c r="A395" t="s">
        <v>508</v>
      </c>
      <c r="B395">
        <v>667.7</v>
      </c>
      <c r="H395" t="s">
        <v>523</v>
      </c>
      <c r="I395" s="29" t="s">
        <v>521</v>
      </c>
      <c r="J395" s="29" t="s">
        <v>67</v>
      </c>
      <c r="K395" t="s">
        <v>46</v>
      </c>
      <c r="L395">
        <v>3</v>
      </c>
      <c r="M395" t="s">
        <v>61</v>
      </c>
      <c r="N395" t="s">
        <v>518</v>
      </c>
    </row>
    <row r="396" spans="1:14">
      <c r="A396" t="s">
        <v>508</v>
      </c>
      <c r="B396">
        <v>38.33</v>
      </c>
      <c r="H396" t="s">
        <v>519</v>
      </c>
      <c r="K396" t="s">
        <v>46</v>
      </c>
      <c r="L396">
        <v>0</v>
      </c>
      <c r="M396" t="s">
        <v>64</v>
      </c>
      <c r="N396" t="s">
        <v>511</v>
      </c>
    </row>
    <row r="397" spans="1:14" ht="84.95">
      <c r="A397" t="s">
        <v>508</v>
      </c>
      <c r="B397">
        <v>352.97</v>
      </c>
      <c r="H397" t="s">
        <v>520</v>
      </c>
      <c r="I397" s="29" t="s">
        <v>521</v>
      </c>
      <c r="J397" s="29" t="s">
        <v>67</v>
      </c>
      <c r="K397" t="s">
        <v>46</v>
      </c>
      <c r="L397">
        <v>1</v>
      </c>
      <c r="M397" t="s">
        <v>64</v>
      </c>
      <c r="N397" t="s">
        <v>514</v>
      </c>
    </row>
    <row r="398" spans="1:14" ht="84.95">
      <c r="A398" t="s">
        <v>508</v>
      </c>
      <c r="B398">
        <v>1375.2</v>
      </c>
      <c r="H398" t="s">
        <v>522</v>
      </c>
      <c r="I398" s="29" t="s">
        <v>521</v>
      </c>
      <c r="J398" s="29" t="s">
        <v>67</v>
      </c>
      <c r="K398" t="s">
        <v>46</v>
      </c>
      <c r="L398">
        <v>2</v>
      </c>
      <c r="M398" t="s">
        <v>64</v>
      </c>
      <c r="N398" t="s">
        <v>516</v>
      </c>
    </row>
    <row r="399" spans="1:14" ht="84.95">
      <c r="A399" t="s">
        <v>508</v>
      </c>
      <c r="B399">
        <v>0</v>
      </c>
      <c r="H399" t="s">
        <v>523</v>
      </c>
      <c r="I399" s="29" t="s">
        <v>521</v>
      </c>
      <c r="J399" s="29" t="s">
        <v>67</v>
      </c>
      <c r="K399" t="s">
        <v>46</v>
      </c>
      <c r="L399">
        <v>3</v>
      </c>
      <c r="M399" t="s">
        <v>64</v>
      </c>
      <c r="N399" t="s">
        <v>518</v>
      </c>
    </row>
    <row r="400" spans="1:14">
      <c r="A400" t="s">
        <v>508</v>
      </c>
      <c r="B400">
        <v>52.8</v>
      </c>
      <c r="H400" t="s">
        <v>519</v>
      </c>
      <c r="K400" t="s">
        <v>46</v>
      </c>
      <c r="L400">
        <v>0</v>
      </c>
      <c r="M400" t="s">
        <v>65</v>
      </c>
      <c r="N400" t="s">
        <v>511</v>
      </c>
    </row>
    <row r="401" spans="1:14" ht="84.95">
      <c r="A401" t="s">
        <v>508</v>
      </c>
      <c r="B401">
        <v>583.57999999999993</v>
      </c>
      <c r="H401" t="s">
        <v>520</v>
      </c>
      <c r="I401" s="29" t="s">
        <v>521</v>
      </c>
      <c r="J401" s="29" t="s">
        <v>67</v>
      </c>
      <c r="K401" t="s">
        <v>46</v>
      </c>
      <c r="L401">
        <v>1</v>
      </c>
      <c r="M401" t="s">
        <v>65</v>
      </c>
      <c r="N401" t="s">
        <v>514</v>
      </c>
    </row>
    <row r="402" spans="1:14" ht="84.95">
      <c r="A402" t="s">
        <v>508</v>
      </c>
      <c r="B402">
        <v>1427.03</v>
      </c>
      <c r="H402" t="s">
        <v>522</v>
      </c>
      <c r="I402" s="29" t="s">
        <v>521</v>
      </c>
      <c r="J402" s="29" t="s">
        <v>67</v>
      </c>
      <c r="K402" t="s">
        <v>46</v>
      </c>
      <c r="L402">
        <v>2</v>
      </c>
      <c r="M402" t="s">
        <v>65</v>
      </c>
      <c r="N402" t="s">
        <v>516</v>
      </c>
    </row>
    <row r="403" spans="1:14" ht="84.95">
      <c r="A403" t="s">
        <v>508</v>
      </c>
      <c r="B403">
        <v>576.64</v>
      </c>
      <c r="H403" t="s">
        <v>523</v>
      </c>
      <c r="I403" s="29" t="s">
        <v>521</v>
      </c>
      <c r="J403" s="29" t="s">
        <v>67</v>
      </c>
      <c r="K403" t="s">
        <v>46</v>
      </c>
      <c r="L403">
        <v>3</v>
      </c>
      <c r="M403" t="s">
        <v>65</v>
      </c>
      <c r="N403" t="s">
        <v>518</v>
      </c>
    </row>
    <row r="404" spans="1:14" ht="153">
      <c r="A404" t="s">
        <v>524</v>
      </c>
      <c r="B404">
        <v>0</v>
      </c>
      <c r="H404" t="s">
        <v>525</v>
      </c>
      <c r="J404" s="29" t="s">
        <v>74</v>
      </c>
      <c r="K404" t="s">
        <v>46</v>
      </c>
      <c r="L404">
        <v>0</v>
      </c>
      <c r="M404" t="s">
        <v>381</v>
      </c>
      <c r="N404" t="s">
        <v>511</v>
      </c>
    </row>
    <row r="405" spans="1:14" ht="153">
      <c r="A405" t="s">
        <v>524</v>
      </c>
      <c r="B405">
        <v>0</v>
      </c>
      <c r="H405" t="s">
        <v>526</v>
      </c>
      <c r="J405" s="29" t="s">
        <v>74</v>
      </c>
      <c r="K405" t="s">
        <v>46</v>
      </c>
      <c r="L405">
        <v>1</v>
      </c>
      <c r="M405" t="s">
        <v>381</v>
      </c>
      <c r="N405" t="s">
        <v>514</v>
      </c>
    </row>
    <row r="406" spans="1:14" ht="153">
      <c r="A406" t="s">
        <v>524</v>
      </c>
      <c r="B406">
        <v>0</v>
      </c>
      <c r="H406" t="s">
        <v>527</v>
      </c>
      <c r="I406" s="29" t="s">
        <v>528</v>
      </c>
      <c r="J406" s="29" t="s">
        <v>74</v>
      </c>
      <c r="K406" t="s">
        <v>46</v>
      </c>
      <c r="L406">
        <v>2</v>
      </c>
      <c r="M406" t="s">
        <v>381</v>
      </c>
      <c r="N406" t="s">
        <v>516</v>
      </c>
    </row>
    <row r="407" spans="1:14" ht="153">
      <c r="A407" t="s">
        <v>524</v>
      </c>
      <c r="B407">
        <v>0</v>
      </c>
      <c r="H407" t="s">
        <v>529</v>
      </c>
      <c r="J407" s="29" t="s">
        <v>74</v>
      </c>
      <c r="K407" t="s">
        <v>46</v>
      </c>
      <c r="L407">
        <v>3</v>
      </c>
      <c r="M407" t="s">
        <v>381</v>
      </c>
      <c r="N407" t="s">
        <v>518</v>
      </c>
    </row>
    <row r="408" spans="1:14" ht="153">
      <c r="A408" t="s">
        <v>524</v>
      </c>
      <c r="H408" t="s">
        <v>525</v>
      </c>
      <c r="I408" s="29" t="s">
        <v>530</v>
      </c>
      <c r="J408" s="29" t="s">
        <v>74</v>
      </c>
      <c r="K408" t="s">
        <v>46</v>
      </c>
      <c r="L408">
        <v>0</v>
      </c>
      <c r="M408" t="s">
        <v>61</v>
      </c>
      <c r="N408" t="s">
        <v>511</v>
      </c>
    </row>
    <row r="409" spans="1:14" ht="153">
      <c r="A409" t="s">
        <v>524</v>
      </c>
      <c r="H409" t="s">
        <v>526</v>
      </c>
      <c r="I409" s="29" t="s">
        <v>530</v>
      </c>
      <c r="J409" s="29" t="s">
        <v>74</v>
      </c>
      <c r="K409" t="s">
        <v>46</v>
      </c>
      <c r="L409">
        <v>1</v>
      </c>
      <c r="M409" t="s">
        <v>61</v>
      </c>
      <c r="N409" t="s">
        <v>514</v>
      </c>
    </row>
    <row r="410" spans="1:14" ht="153">
      <c r="A410" t="s">
        <v>524</v>
      </c>
      <c r="H410" t="s">
        <v>527</v>
      </c>
      <c r="I410" s="29" t="s">
        <v>530</v>
      </c>
      <c r="J410" s="29" t="s">
        <v>74</v>
      </c>
      <c r="K410" t="s">
        <v>46</v>
      </c>
      <c r="L410">
        <v>2</v>
      </c>
      <c r="M410" t="s">
        <v>61</v>
      </c>
      <c r="N410" t="s">
        <v>516</v>
      </c>
    </row>
    <row r="411" spans="1:14" ht="153">
      <c r="A411" t="s">
        <v>524</v>
      </c>
      <c r="H411" t="s">
        <v>529</v>
      </c>
      <c r="I411" s="29" t="s">
        <v>530</v>
      </c>
      <c r="J411" s="29" t="s">
        <v>74</v>
      </c>
      <c r="K411" t="s">
        <v>46</v>
      </c>
      <c r="L411">
        <v>3</v>
      </c>
      <c r="M411" t="s">
        <v>61</v>
      </c>
      <c r="N411" t="s">
        <v>518</v>
      </c>
    </row>
    <row r="412" spans="1:14" ht="84.95">
      <c r="A412" t="s">
        <v>524</v>
      </c>
      <c r="B412" t="s">
        <v>531</v>
      </c>
      <c r="H412" t="s">
        <v>532</v>
      </c>
      <c r="I412" s="29" t="s">
        <v>533</v>
      </c>
      <c r="J412" s="29" t="s">
        <v>534</v>
      </c>
      <c r="K412" t="s">
        <v>46</v>
      </c>
      <c r="L412">
        <v>4</v>
      </c>
      <c r="M412" t="s">
        <v>61</v>
      </c>
      <c r="N412" t="s">
        <v>535</v>
      </c>
    </row>
    <row r="413" spans="1:14" ht="153">
      <c r="A413" t="s">
        <v>524</v>
      </c>
      <c r="H413" t="s">
        <v>525</v>
      </c>
      <c r="J413" s="29" t="s">
        <v>74</v>
      </c>
      <c r="K413" t="s">
        <v>46</v>
      </c>
      <c r="L413">
        <v>0</v>
      </c>
      <c r="M413" t="s">
        <v>64</v>
      </c>
      <c r="N413" t="s">
        <v>511</v>
      </c>
    </row>
    <row r="414" spans="1:14" ht="153">
      <c r="A414" t="s">
        <v>524</v>
      </c>
      <c r="H414" t="s">
        <v>526</v>
      </c>
      <c r="J414" s="29" t="s">
        <v>74</v>
      </c>
      <c r="K414" t="s">
        <v>46</v>
      </c>
      <c r="L414">
        <v>1</v>
      </c>
      <c r="M414" t="s">
        <v>64</v>
      </c>
      <c r="N414" t="s">
        <v>514</v>
      </c>
    </row>
    <row r="415" spans="1:14" ht="153">
      <c r="A415" t="s">
        <v>524</v>
      </c>
      <c r="H415" t="s">
        <v>527</v>
      </c>
      <c r="J415" s="29" t="s">
        <v>74</v>
      </c>
      <c r="K415" t="s">
        <v>46</v>
      </c>
      <c r="L415">
        <v>2</v>
      </c>
      <c r="M415" t="s">
        <v>64</v>
      </c>
      <c r="N415" t="s">
        <v>516</v>
      </c>
    </row>
    <row r="416" spans="1:14" ht="153">
      <c r="A416" t="s">
        <v>524</v>
      </c>
      <c r="H416" t="s">
        <v>529</v>
      </c>
      <c r="J416" s="29" t="s">
        <v>74</v>
      </c>
      <c r="K416" t="s">
        <v>46</v>
      </c>
      <c r="L416">
        <v>3</v>
      </c>
      <c r="M416" t="s">
        <v>64</v>
      </c>
      <c r="N416" t="s">
        <v>518</v>
      </c>
    </row>
    <row r="417" spans="1:14" ht="84.95">
      <c r="A417" t="s">
        <v>524</v>
      </c>
      <c r="H417" t="s">
        <v>532</v>
      </c>
      <c r="I417" s="29" t="s">
        <v>533</v>
      </c>
      <c r="J417" s="29" t="s">
        <v>534</v>
      </c>
      <c r="K417" t="s">
        <v>46</v>
      </c>
      <c r="L417">
        <v>4</v>
      </c>
      <c r="M417" t="s">
        <v>64</v>
      </c>
      <c r="N417" t="s">
        <v>535</v>
      </c>
    </row>
    <row r="418" spans="1:14" ht="153">
      <c r="A418" t="s">
        <v>524</v>
      </c>
      <c r="H418" t="s">
        <v>525</v>
      </c>
      <c r="J418" s="29" t="s">
        <v>74</v>
      </c>
      <c r="K418" t="s">
        <v>46</v>
      </c>
      <c r="L418">
        <v>0</v>
      </c>
      <c r="M418" t="s">
        <v>65</v>
      </c>
      <c r="N418" t="s">
        <v>511</v>
      </c>
    </row>
    <row r="419" spans="1:14" ht="153">
      <c r="A419" t="s">
        <v>524</v>
      </c>
      <c r="H419" t="s">
        <v>526</v>
      </c>
      <c r="J419" s="29" t="s">
        <v>74</v>
      </c>
      <c r="K419" t="s">
        <v>46</v>
      </c>
      <c r="L419">
        <v>1</v>
      </c>
      <c r="M419" t="s">
        <v>65</v>
      </c>
      <c r="N419" t="s">
        <v>514</v>
      </c>
    </row>
    <row r="420" spans="1:14" ht="153">
      <c r="A420" t="s">
        <v>524</v>
      </c>
      <c r="H420" t="s">
        <v>527</v>
      </c>
      <c r="J420" s="29" t="s">
        <v>74</v>
      </c>
      <c r="K420" t="s">
        <v>46</v>
      </c>
      <c r="L420">
        <v>2</v>
      </c>
      <c r="M420" t="s">
        <v>65</v>
      </c>
      <c r="N420" t="s">
        <v>516</v>
      </c>
    </row>
    <row r="421" spans="1:14" ht="153">
      <c r="A421" t="s">
        <v>524</v>
      </c>
      <c r="H421" t="s">
        <v>529</v>
      </c>
      <c r="J421" s="29" t="s">
        <v>74</v>
      </c>
      <c r="K421" t="s">
        <v>46</v>
      </c>
      <c r="L421">
        <v>3</v>
      </c>
      <c r="M421" t="s">
        <v>65</v>
      </c>
      <c r="N421" t="s">
        <v>518</v>
      </c>
    </row>
    <row r="422" spans="1:14" ht="84.95">
      <c r="A422" t="s">
        <v>524</v>
      </c>
      <c r="H422" t="s">
        <v>532</v>
      </c>
      <c r="I422" s="29" t="s">
        <v>533</v>
      </c>
      <c r="J422" s="29" t="s">
        <v>534</v>
      </c>
      <c r="K422" t="s">
        <v>46</v>
      </c>
      <c r="L422">
        <v>4</v>
      </c>
      <c r="M422" t="s">
        <v>65</v>
      </c>
      <c r="N422" t="s">
        <v>535</v>
      </c>
    </row>
    <row r="423" spans="1:14" ht="119.1">
      <c r="A423" t="s">
        <v>536</v>
      </c>
      <c r="B423">
        <v>0</v>
      </c>
      <c r="H423" t="s">
        <v>537</v>
      </c>
      <c r="I423" s="29" t="s">
        <v>538</v>
      </c>
      <c r="J423" s="29" t="s">
        <v>77</v>
      </c>
      <c r="K423" t="s">
        <v>46</v>
      </c>
      <c r="L423">
        <v>0</v>
      </c>
      <c r="M423" t="s">
        <v>381</v>
      </c>
      <c r="N423" t="s">
        <v>511</v>
      </c>
    </row>
    <row r="424" spans="1:14" ht="204">
      <c r="A424" t="s">
        <v>536</v>
      </c>
      <c r="B424">
        <v>0.49640000000000001</v>
      </c>
      <c r="H424" t="s">
        <v>539</v>
      </c>
      <c r="I424" s="29" t="s">
        <v>540</v>
      </c>
      <c r="J424" s="29" t="s">
        <v>541</v>
      </c>
      <c r="K424" t="s">
        <v>46</v>
      </c>
      <c r="L424">
        <v>1</v>
      </c>
      <c r="M424" t="s">
        <v>381</v>
      </c>
      <c r="N424" t="s">
        <v>514</v>
      </c>
    </row>
    <row r="425" spans="1:14" ht="51">
      <c r="A425" t="s">
        <v>536</v>
      </c>
      <c r="B425">
        <v>0.77</v>
      </c>
      <c r="H425" t="s">
        <v>542</v>
      </c>
      <c r="J425" s="29" t="s">
        <v>77</v>
      </c>
      <c r="K425" t="s">
        <v>46</v>
      </c>
      <c r="L425">
        <v>2</v>
      </c>
      <c r="M425" t="s">
        <v>381</v>
      </c>
      <c r="N425" t="s">
        <v>516</v>
      </c>
    </row>
    <row r="426" spans="1:14" ht="51">
      <c r="A426" t="s">
        <v>536</v>
      </c>
      <c r="B426">
        <v>0.77</v>
      </c>
      <c r="H426" t="s">
        <v>543</v>
      </c>
      <c r="J426" s="29" t="s">
        <v>77</v>
      </c>
      <c r="K426" t="s">
        <v>46</v>
      </c>
      <c r="L426">
        <v>3</v>
      </c>
      <c r="M426" t="s">
        <v>381</v>
      </c>
      <c r="N426" t="s">
        <v>518</v>
      </c>
    </row>
    <row r="427" spans="1:14" ht="204">
      <c r="A427" t="s">
        <v>536</v>
      </c>
      <c r="B427">
        <v>0.73</v>
      </c>
      <c r="H427" t="s">
        <v>544</v>
      </c>
      <c r="I427" s="29" t="s">
        <v>545</v>
      </c>
      <c r="J427" s="29" t="s">
        <v>546</v>
      </c>
      <c r="K427" t="s">
        <v>46</v>
      </c>
      <c r="L427">
        <v>4</v>
      </c>
      <c r="M427" t="s">
        <v>381</v>
      </c>
      <c r="N427" t="s">
        <v>535</v>
      </c>
    </row>
    <row r="428" spans="1:14" ht="33.950000000000003">
      <c r="A428" t="s">
        <v>536</v>
      </c>
      <c r="B428">
        <v>0</v>
      </c>
      <c r="H428" t="s">
        <v>537</v>
      </c>
      <c r="I428" s="29" t="s">
        <v>547</v>
      </c>
      <c r="J428" s="29" t="s">
        <v>548</v>
      </c>
      <c r="K428" t="s">
        <v>46</v>
      </c>
      <c r="L428">
        <v>0</v>
      </c>
      <c r="M428" t="s">
        <v>61</v>
      </c>
      <c r="N428" t="s">
        <v>511</v>
      </c>
    </row>
    <row r="429" spans="1:14" ht="204">
      <c r="A429" t="s">
        <v>536</v>
      </c>
      <c r="B429">
        <v>0.6</v>
      </c>
      <c r="H429" t="s">
        <v>539</v>
      </c>
      <c r="I429" s="29" t="s">
        <v>540</v>
      </c>
      <c r="J429" s="29" t="s">
        <v>549</v>
      </c>
      <c r="K429" t="s">
        <v>46</v>
      </c>
      <c r="L429">
        <v>1</v>
      </c>
      <c r="M429" t="s">
        <v>61</v>
      </c>
      <c r="N429" t="s">
        <v>514</v>
      </c>
    </row>
    <row r="430" spans="1:14" ht="102">
      <c r="A430" t="s">
        <v>536</v>
      </c>
      <c r="B430">
        <v>0.6</v>
      </c>
      <c r="H430" t="s">
        <v>542</v>
      </c>
      <c r="I430" s="29" t="s">
        <v>550</v>
      </c>
      <c r="J430" s="29" t="s">
        <v>551</v>
      </c>
      <c r="K430" t="s">
        <v>46</v>
      </c>
      <c r="L430">
        <v>2</v>
      </c>
      <c r="M430" t="s">
        <v>61</v>
      </c>
      <c r="N430" t="s">
        <v>516</v>
      </c>
    </row>
    <row r="431" spans="1:14" ht="102">
      <c r="A431" t="s">
        <v>536</v>
      </c>
      <c r="B431">
        <v>0.6</v>
      </c>
      <c r="H431" t="s">
        <v>543</v>
      </c>
      <c r="I431" s="29" t="s">
        <v>552</v>
      </c>
      <c r="J431" s="29" t="s">
        <v>551</v>
      </c>
      <c r="K431" t="s">
        <v>46</v>
      </c>
      <c r="L431">
        <v>3</v>
      </c>
      <c r="M431" t="s">
        <v>61</v>
      </c>
      <c r="N431" t="s">
        <v>518</v>
      </c>
    </row>
    <row r="432" spans="1:14" ht="255">
      <c r="A432" t="s">
        <v>536</v>
      </c>
      <c r="B432">
        <v>0.6</v>
      </c>
      <c r="H432" t="s">
        <v>544</v>
      </c>
      <c r="I432" s="29" t="s">
        <v>553</v>
      </c>
      <c r="J432" s="29" t="s">
        <v>551</v>
      </c>
      <c r="K432" t="s">
        <v>46</v>
      </c>
      <c r="L432">
        <v>4</v>
      </c>
      <c r="M432" t="s">
        <v>61</v>
      </c>
      <c r="N432" t="s">
        <v>535</v>
      </c>
    </row>
    <row r="433" spans="1:14" ht="33.950000000000003">
      <c r="A433" t="s">
        <v>536</v>
      </c>
      <c r="B433">
        <v>0</v>
      </c>
      <c r="H433" t="s">
        <v>537</v>
      </c>
      <c r="I433" s="29" t="s">
        <v>547</v>
      </c>
      <c r="J433" s="29" t="s">
        <v>548</v>
      </c>
      <c r="K433" t="s">
        <v>46</v>
      </c>
      <c r="L433">
        <v>0</v>
      </c>
      <c r="M433" t="s">
        <v>64</v>
      </c>
      <c r="N433" t="s">
        <v>511</v>
      </c>
    </row>
    <row r="434" spans="1:14" ht="221.1">
      <c r="A434" t="s">
        <v>536</v>
      </c>
      <c r="B434">
        <v>0.44529999999999997</v>
      </c>
      <c r="H434" t="s">
        <v>539</v>
      </c>
      <c r="I434" s="29" t="s">
        <v>540</v>
      </c>
      <c r="J434" s="29" t="s">
        <v>554</v>
      </c>
      <c r="K434" t="s">
        <v>46</v>
      </c>
      <c r="L434">
        <v>1</v>
      </c>
      <c r="M434" t="s">
        <v>64</v>
      </c>
      <c r="N434" t="s">
        <v>514</v>
      </c>
    </row>
    <row r="435" spans="1:14" ht="119.1">
      <c r="A435" t="s">
        <v>536</v>
      </c>
      <c r="B435">
        <v>0.91</v>
      </c>
      <c r="H435" t="s">
        <v>542</v>
      </c>
      <c r="I435" s="29" t="s">
        <v>550</v>
      </c>
      <c r="J435" s="29" t="s">
        <v>555</v>
      </c>
      <c r="K435" t="s">
        <v>46</v>
      </c>
      <c r="L435">
        <v>2</v>
      </c>
      <c r="M435" t="s">
        <v>64</v>
      </c>
      <c r="N435" t="s">
        <v>516</v>
      </c>
    </row>
    <row r="436" spans="1:14" ht="119.1">
      <c r="A436" t="s">
        <v>536</v>
      </c>
      <c r="B436">
        <v>0.91</v>
      </c>
      <c r="H436" t="s">
        <v>543</v>
      </c>
      <c r="I436" s="29" t="s">
        <v>556</v>
      </c>
      <c r="J436" s="29" t="s">
        <v>555</v>
      </c>
      <c r="K436" t="s">
        <v>46</v>
      </c>
      <c r="L436">
        <v>3</v>
      </c>
      <c r="M436" t="s">
        <v>64</v>
      </c>
      <c r="N436" t="s">
        <v>518</v>
      </c>
    </row>
    <row r="437" spans="1:14" ht="204">
      <c r="A437" t="s">
        <v>536</v>
      </c>
      <c r="B437">
        <v>0.73</v>
      </c>
      <c r="H437" t="s">
        <v>544</v>
      </c>
      <c r="I437" s="29" t="s">
        <v>557</v>
      </c>
      <c r="J437" s="29" t="s">
        <v>555</v>
      </c>
      <c r="K437" t="s">
        <v>46</v>
      </c>
      <c r="L437">
        <v>4</v>
      </c>
      <c r="M437" t="s">
        <v>64</v>
      </c>
      <c r="N437" t="s">
        <v>535</v>
      </c>
    </row>
    <row r="438" spans="1:14" ht="33.950000000000003">
      <c r="A438" t="s">
        <v>536</v>
      </c>
      <c r="B438">
        <v>0</v>
      </c>
      <c r="H438" t="s">
        <v>537</v>
      </c>
      <c r="I438" s="29" t="s">
        <v>547</v>
      </c>
      <c r="J438" s="29" t="s">
        <v>548</v>
      </c>
      <c r="K438" t="s">
        <v>46</v>
      </c>
      <c r="L438">
        <v>0</v>
      </c>
      <c r="M438" t="s">
        <v>65</v>
      </c>
      <c r="N438" t="s">
        <v>511</v>
      </c>
    </row>
    <row r="439" spans="1:14" ht="33.950000000000003">
      <c r="A439" t="s">
        <v>536</v>
      </c>
      <c r="H439" t="s">
        <v>539</v>
      </c>
      <c r="I439" s="29" t="s">
        <v>558</v>
      </c>
      <c r="K439" t="s">
        <v>46</v>
      </c>
      <c r="L439">
        <v>1</v>
      </c>
      <c r="M439" t="s">
        <v>65</v>
      </c>
      <c r="N439" t="s">
        <v>514</v>
      </c>
    </row>
    <row r="440" spans="1:14" ht="33.950000000000003">
      <c r="A440" t="s">
        <v>536</v>
      </c>
      <c r="H440" t="s">
        <v>542</v>
      </c>
      <c r="I440" s="29" t="s">
        <v>558</v>
      </c>
      <c r="K440" t="s">
        <v>46</v>
      </c>
      <c r="L440">
        <v>2</v>
      </c>
      <c r="M440" t="s">
        <v>65</v>
      </c>
      <c r="N440" t="s">
        <v>516</v>
      </c>
    </row>
    <row r="441" spans="1:14" ht="33.950000000000003">
      <c r="A441" t="s">
        <v>536</v>
      </c>
      <c r="H441" t="s">
        <v>543</v>
      </c>
      <c r="I441" s="29" t="s">
        <v>558</v>
      </c>
      <c r="K441" t="s">
        <v>46</v>
      </c>
      <c r="L441">
        <v>3</v>
      </c>
      <c r="M441" t="s">
        <v>65</v>
      </c>
      <c r="N441" t="s">
        <v>518</v>
      </c>
    </row>
    <row r="442" spans="1:14" ht="33.950000000000003">
      <c r="A442" t="s">
        <v>536</v>
      </c>
      <c r="H442" t="s">
        <v>544</v>
      </c>
      <c r="I442" s="29" t="s">
        <v>558</v>
      </c>
      <c r="K442" t="s">
        <v>46</v>
      </c>
      <c r="L442">
        <v>4</v>
      </c>
      <c r="M442" t="s">
        <v>65</v>
      </c>
      <c r="N442" t="s">
        <v>535</v>
      </c>
    </row>
    <row r="443" spans="1:14" ht="33.950000000000003">
      <c r="A443" t="s">
        <v>559</v>
      </c>
      <c r="B443">
        <v>0</v>
      </c>
      <c r="H443" t="s">
        <v>560</v>
      </c>
      <c r="I443" s="29" t="s">
        <v>547</v>
      </c>
      <c r="J443" s="29" t="s">
        <v>548</v>
      </c>
      <c r="K443" t="s">
        <v>46</v>
      </c>
      <c r="L443">
        <v>0</v>
      </c>
      <c r="M443" t="s">
        <v>381</v>
      </c>
      <c r="N443" t="s">
        <v>511</v>
      </c>
    </row>
    <row r="444" spans="1:14" ht="221.1">
      <c r="A444" t="s">
        <v>559</v>
      </c>
      <c r="B444">
        <v>0.25840000000000002</v>
      </c>
      <c r="H444" t="s">
        <v>561</v>
      </c>
      <c r="I444" s="29" t="s">
        <v>540</v>
      </c>
      <c r="J444" s="29" t="s">
        <v>554</v>
      </c>
      <c r="K444" t="s">
        <v>46</v>
      </c>
      <c r="L444">
        <v>1</v>
      </c>
      <c r="M444" t="s">
        <v>381</v>
      </c>
      <c r="N444" t="s">
        <v>514</v>
      </c>
    </row>
    <row r="445" spans="1:14" ht="102">
      <c r="A445" t="s">
        <v>559</v>
      </c>
      <c r="B445">
        <v>0.48</v>
      </c>
      <c r="H445" t="s">
        <v>562</v>
      </c>
      <c r="I445" s="29" t="s">
        <v>528</v>
      </c>
      <c r="J445" s="29" t="s">
        <v>76</v>
      </c>
      <c r="K445" t="s">
        <v>46</v>
      </c>
      <c r="L445">
        <v>2</v>
      </c>
      <c r="M445" t="s">
        <v>381</v>
      </c>
      <c r="N445" t="s">
        <v>516</v>
      </c>
    </row>
    <row r="446" spans="1:14" ht="51">
      <c r="A446" t="s">
        <v>559</v>
      </c>
      <c r="B446">
        <v>0.48</v>
      </c>
      <c r="H446" t="s">
        <v>563</v>
      </c>
      <c r="J446" s="29" t="s">
        <v>76</v>
      </c>
      <c r="K446" t="s">
        <v>46</v>
      </c>
      <c r="L446">
        <v>3</v>
      </c>
      <c r="M446" t="s">
        <v>381</v>
      </c>
      <c r="N446" t="s">
        <v>518</v>
      </c>
    </row>
    <row r="447" spans="1:14" ht="204">
      <c r="A447" t="s">
        <v>559</v>
      </c>
      <c r="B447">
        <v>0.38</v>
      </c>
      <c r="H447" t="s">
        <v>564</v>
      </c>
      <c r="I447" s="29" t="s">
        <v>545</v>
      </c>
      <c r="J447" s="29" t="s">
        <v>546</v>
      </c>
      <c r="K447" t="s">
        <v>46</v>
      </c>
      <c r="L447">
        <v>4</v>
      </c>
      <c r="M447" t="s">
        <v>381</v>
      </c>
      <c r="N447" t="s">
        <v>535</v>
      </c>
    </row>
    <row r="448" spans="1:14" ht="33.950000000000003">
      <c r="A448" t="s">
        <v>559</v>
      </c>
      <c r="B448">
        <v>0</v>
      </c>
      <c r="H448" t="s">
        <v>560</v>
      </c>
      <c r="I448" s="29" t="s">
        <v>547</v>
      </c>
      <c r="J448" s="29" t="s">
        <v>548</v>
      </c>
      <c r="K448" t="s">
        <v>46</v>
      </c>
      <c r="L448">
        <v>0</v>
      </c>
      <c r="M448" t="s">
        <v>61</v>
      </c>
      <c r="N448" t="s">
        <v>511</v>
      </c>
    </row>
    <row r="449" spans="1:14" ht="204">
      <c r="A449" t="s">
        <v>559</v>
      </c>
      <c r="B449">
        <v>8.3000000000000004E-2</v>
      </c>
      <c r="H449" t="s">
        <v>561</v>
      </c>
      <c r="I449" s="29" t="s">
        <v>540</v>
      </c>
      <c r="J449" s="29" t="s">
        <v>565</v>
      </c>
      <c r="K449" t="s">
        <v>46</v>
      </c>
      <c r="L449">
        <v>1</v>
      </c>
      <c r="M449" t="s">
        <v>61</v>
      </c>
      <c r="N449" t="s">
        <v>514</v>
      </c>
    </row>
    <row r="450" spans="1:14" ht="153">
      <c r="A450" t="s">
        <v>559</v>
      </c>
      <c r="B450">
        <v>0.28999999999999998</v>
      </c>
      <c r="H450" t="s">
        <v>562</v>
      </c>
      <c r="I450" s="29" t="s">
        <v>566</v>
      </c>
      <c r="J450" s="29" t="s">
        <v>567</v>
      </c>
      <c r="K450" t="s">
        <v>46</v>
      </c>
      <c r="L450">
        <v>2</v>
      </c>
      <c r="M450" t="s">
        <v>61</v>
      </c>
      <c r="N450" t="s">
        <v>516</v>
      </c>
    </row>
    <row r="451" spans="1:14" ht="102">
      <c r="A451" t="s">
        <v>559</v>
      </c>
      <c r="B451">
        <v>0.28999999999999998</v>
      </c>
      <c r="H451" t="s">
        <v>563</v>
      </c>
      <c r="I451" s="29" t="s">
        <v>568</v>
      </c>
      <c r="J451" s="29" t="s">
        <v>567</v>
      </c>
      <c r="K451" t="s">
        <v>46</v>
      </c>
      <c r="L451">
        <v>3</v>
      </c>
      <c r="M451" t="s">
        <v>61</v>
      </c>
      <c r="N451" t="s">
        <v>518</v>
      </c>
    </row>
    <row r="452" spans="1:14" ht="186.95">
      <c r="A452" t="s">
        <v>559</v>
      </c>
      <c r="B452">
        <v>0.1</v>
      </c>
      <c r="H452" t="s">
        <v>564</v>
      </c>
      <c r="I452" s="29" t="s">
        <v>569</v>
      </c>
      <c r="J452" s="29" t="s">
        <v>551</v>
      </c>
      <c r="K452" t="s">
        <v>46</v>
      </c>
      <c r="L452">
        <v>4</v>
      </c>
      <c r="M452" t="s">
        <v>61</v>
      </c>
      <c r="N452" t="s">
        <v>535</v>
      </c>
    </row>
    <row r="453" spans="1:14" ht="33.950000000000003">
      <c r="A453" t="s">
        <v>559</v>
      </c>
      <c r="B453">
        <v>0</v>
      </c>
      <c r="H453" t="s">
        <v>560</v>
      </c>
      <c r="I453" s="29" t="s">
        <v>547</v>
      </c>
      <c r="J453" s="29" t="s">
        <v>548</v>
      </c>
      <c r="K453" t="s">
        <v>46</v>
      </c>
      <c r="L453">
        <v>0</v>
      </c>
      <c r="M453" t="s">
        <v>64</v>
      </c>
      <c r="N453" t="s">
        <v>511</v>
      </c>
    </row>
    <row r="454" spans="1:14" ht="221.1">
      <c r="A454" t="s">
        <v>559</v>
      </c>
      <c r="B454">
        <v>0.23180000000000001</v>
      </c>
      <c r="H454" t="s">
        <v>561</v>
      </c>
      <c r="I454" s="29" t="s">
        <v>540</v>
      </c>
      <c r="J454" s="29" t="s">
        <v>554</v>
      </c>
      <c r="K454" t="s">
        <v>46</v>
      </c>
      <c r="L454">
        <v>1</v>
      </c>
      <c r="M454" t="s">
        <v>64</v>
      </c>
      <c r="N454" t="s">
        <v>514</v>
      </c>
    </row>
    <row r="455" spans="1:14" ht="153">
      <c r="A455" t="s">
        <v>559</v>
      </c>
      <c r="B455">
        <v>0.56000000000000005</v>
      </c>
      <c r="H455" t="s">
        <v>562</v>
      </c>
      <c r="I455" s="29" t="s">
        <v>566</v>
      </c>
      <c r="J455" s="29" t="s">
        <v>555</v>
      </c>
      <c r="K455" t="s">
        <v>46</v>
      </c>
      <c r="L455">
        <v>2</v>
      </c>
      <c r="M455" t="s">
        <v>64</v>
      </c>
      <c r="N455" t="s">
        <v>516</v>
      </c>
    </row>
    <row r="456" spans="1:14" ht="119.1">
      <c r="A456" t="s">
        <v>559</v>
      </c>
      <c r="B456">
        <v>0.56000000000000005</v>
      </c>
      <c r="H456" t="s">
        <v>563</v>
      </c>
      <c r="I456" s="29" t="s">
        <v>568</v>
      </c>
      <c r="J456" s="29" t="s">
        <v>555</v>
      </c>
      <c r="K456" t="s">
        <v>46</v>
      </c>
      <c r="L456">
        <v>3</v>
      </c>
      <c r="M456" t="s">
        <v>64</v>
      </c>
      <c r="N456" t="s">
        <v>518</v>
      </c>
    </row>
    <row r="457" spans="1:14" ht="186.95">
      <c r="A457" t="s">
        <v>559</v>
      </c>
      <c r="B457">
        <v>0.38</v>
      </c>
      <c r="H457" t="s">
        <v>564</v>
      </c>
      <c r="I457" s="29" t="s">
        <v>569</v>
      </c>
      <c r="J457" s="29" t="s">
        <v>555</v>
      </c>
      <c r="K457" t="s">
        <v>46</v>
      </c>
      <c r="L457">
        <v>4</v>
      </c>
      <c r="M457" t="s">
        <v>64</v>
      </c>
      <c r="N457" t="s">
        <v>535</v>
      </c>
    </row>
    <row r="458" spans="1:14" ht="33.950000000000003">
      <c r="A458" t="s">
        <v>559</v>
      </c>
      <c r="B458">
        <v>0</v>
      </c>
      <c r="H458" t="s">
        <v>560</v>
      </c>
      <c r="I458" s="29" t="s">
        <v>547</v>
      </c>
      <c r="J458" s="29" t="s">
        <v>548</v>
      </c>
      <c r="K458" t="s">
        <v>46</v>
      </c>
      <c r="L458">
        <v>0</v>
      </c>
      <c r="M458" t="s">
        <v>65</v>
      </c>
      <c r="N458" t="s">
        <v>511</v>
      </c>
    </row>
    <row r="459" spans="1:14" ht="33.950000000000003">
      <c r="A459" t="s">
        <v>559</v>
      </c>
      <c r="H459" t="s">
        <v>561</v>
      </c>
      <c r="I459" s="29" t="s">
        <v>558</v>
      </c>
      <c r="K459" t="s">
        <v>46</v>
      </c>
      <c r="L459">
        <v>1</v>
      </c>
      <c r="M459" t="s">
        <v>65</v>
      </c>
      <c r="N459" t="s">
        <v>514</v>
      </c>
    </row>
    <row r="460" spans="1:14" ht="33.950000000000003">
      <c r="A460" t="s">
        <v>559</v>
      </c>
      <c r="H460" t="s">
        <v>562</v>
      </c>
      <c r="I460" s="29" t="s">
        <v>558</v>
      </c>
      <c r="K460" t="s">
        <v>46</v>
      </c>
      <c r="L460">
        <v>2</v>
      </c>
      <c r="M460" t="s">
        <v>65</v>
      </c>
      <c r="N460" t="s">
        <v>516</v>
      </c>
    </row>
    <row r="461" spans="1:14" ht="33.950000000000003">
      <c r="A461" t="s">
        <v>559</v>
      </c>
      <c r="H461" t="s">
        <v>563</v>
      </c>
      <c r="I461" s="29" t="s">
        <v>558</v>
      </c>
      <c r="K461" t="s">
        <v>46</v>
      </c>
      <c r="L461">
        <v>3</v>
      </c>
      <c r="M461" t="s">
        <v>65</v>
      </c>
      <c r="N461" t="s">
        <v>518</v>
      </c>
    </row>
    <row r="462" spans="1:14" ht="33.950000000000003">
      <c r="A462" t="s">
        <v>559</v>
      </c>
      <c r="H462" t="s">
        <v>564</v>
      </c>
      <c r="I462" s="29" t="s">
        <v>558</v>
      </c>
      <c r="K462" t="s">
        <v>46</v>
      </c>
      <c r="L462">
        <v>4</v>
      </c>
      <c r="M462" t="s">
        <v>65</v>
      </c>
      <c r="N462" t="s">
        <v>535</v>
      </c>
    </row>
    <row r="463" spans="1:14" ht="339.95">
      <c r="A463" t="s">
        <v>570</v>
      </c>
      <c r="B463">
        <v>0</v>
      </c>
      <c r="H463" t="s">
        <v>571</v>
      </c>
      <c r="I463" s="29" t="s">
        <v>572</v>
      </c>
      <c r="J463" s="29" t="s">
        <v>548</v>
      </c>
      <c r="K463" t="s">
        <v>46</v>
      </c>
      <c r="L463">
        <v>0</v>
      </c>
      <c r="M463" t="s">
        <v>381</v>
      </c>
      <c r="N463" t="s">
        <v>511</v>
      </c>
    </row>
    <row r="464" spans="1:14" ht="204">
      <c r="A464" t="s">
        <v>570</v>
      </c>
      <c r="B464">
        <v>0.22440000000000002</v>
      </c>
      <c r="H464" t="s">
        <v>573</v>
      </c>
      <c r="I464" s="29" t="s">
        <v>540</v>
      </c>
      <c r="J464" s="29" t="s">
        <v>541</v>
      </c>
      <c r="K464" t="s">
        <v>46</v>
      </c>
      <c r="L464">
        <v>1</v>
      </c>
      <c r="M464" t="s">
        <v>381</v>
      </c>
      <c r="N464" t="s">
        <v>514</v>
      </c>
    </row>
    <row r="465" spans="1:14" ht="102">
      <c r="A465" t="s">
        <v>574</v>
      </c>
      <c r="B465">
        <v>0.78</v>
      </c>
      <c r="C465">
        <v>0.70599999999999996</v>
      </c>
      <c r="D465">
        <v>0.85399999999999998</v>
      </c>
      <c r="E465">
        <v>120</v>
      </c>
      <c r="F465" t="s">
        <v>106</v>
      </c>
      <c r="H465" t="s">
        <v>575</v>
      </c>
      <c r="I465" s="29" t="s">
        <v>528</v>
      </c>
      <c r="J465" s="29" t="s">
        <v>75</v>
      </c>
      <c r="K465" t="s">
        <v>46</v>
      </c>
      <c r="L465">
        <v>3</v>
      </c>
      <c r="M465" t="s">
        <v>381</v>
      </c>
      <c r="N465" t="s">
        <v>576</v>
      </c>
    </row>
    <row r="466" spans="1:14" ht="204">
      <c r="A466" t="s">
        <v>570</v>
      </c>
      <c r="B466">
        <v>0.33</v>
      </c>
      <c r="H466" t="s">
        <v>577</v>
      </c>
      <c r="I466" s="29" t="s">
        <v>578</v>
      </c>
      <c r="J466" s="29" t="s">
        <v>546</v>
      </c>
      <c r="K466" t="s">
        <v>46</v>
      </c>
      <c r="L466">
        <v>4</v>
      </c>
      <c r="M466" t="s">
        <v>381</v>
      </c>
      <c r="N466" t="s">
        <v>535</v>
      </c>
    </row>
    <row r="467" spans="1:14" ht="339.95">
      <c r="A467" t="s">
        <v>570</v>
      </c>
      <c r="B467">
        <v>0</v>
      </c>
      <c r="H467" t="s">
        <v>571</v>
      </c>
      <c r="I467" s="29" t="s">
        <v>572</v>
      </c>
      <c r="J467" s="29" t="s">
        <v>548</v>
      </c>
      <c r="K467" t="s">
        <v>46</v>
      </c>
      <c r="L467">
        <v>0</v>
      </c>
      <c r="M467" t="s">
        <v>61</v>
      </c>
      <c r="N467" t="s">
        <v>511</v>
      </c>
    </row>
    <row r="468" spans="1:14" ht="204">
      <c r="A468" t="s">
        <v>570</v>
      </c>
      <c r="B468">
        <v>0.27389999999999998</v>
      </c>
      <c r="H468" t="s">
        <v>573</v>
      </c>
      <c r="I468" s="29" t="s">
        <v>540</v>
      </c>
      <c r="J468" s="29" t="s">
        <v>549</v>
      </c>
      <c r="K468" t="s">
        <v>46</v>
      </c>
      <c r="L468">
        <v>1</v>
      </c>
      <c r="M468" t="s">
        <v>61</v>
      </c>
      <c r="N468" t="s">
        <v>514</v>
      </c>
    </row>
    <row r="469" spans="1:14" ht="102">
      <c r="A469" t="s">
        <v>574</v>
      </c>
      <c r="B469">
        <v>0.38</v>
      </c>
      <c r="H469" t="s">
        <v>575</v>
      </c>
      <c r="I469" s="29" t="s">
        <v>579</v>
      </c>
      <c r="J469" s="29" t="s">
        <v>551</v>
      </c>
      <c r="K469" t="s">
        <v>46</v>
      </c>
      <c r="L469">
        <v>3</v>
      </c>
      <c r="M469" t="s">
        <v>61</v>
      </c>
      <c r="N469" t="s">
        <v>576</v>
      </c>
    </row>
    <row r="470" spans="1:14" ht="186.95">
      <c r="A470" t="s">
        <v>570</v>
      </c>
      <c r="B470">
        <v>0.33</v>
      </c>
      <c r="H470" t="s">
        <v>577</v>
      </c>
      <c r="I470" s="29" t="s">
        <v>569</v>
      </c>
      <c r="J470" s="29" t="s">
        <v>551</v>
      </c>
      <c r="K470" t="s">
        <v>46</v>
      </c>
      <c r="L470">
        <v>4</v>
      </c>
      <c r="M470" t="s">
        <v>61</v>
      </c>
      <c r="N470" t="s">
        <v>535</v>
      </c>
    </row>
    <row r="471" spans="1:14" ht="339.95">
      <c r="A471" t="s">
        <v>570</v>
      </c>
      <c r="B471">
        <v>0</v>
      </c>
      <c r="H471" t="s">
        <v>571</v>
      </c>
      <c r="I471" s="29" t="s">
        <v>572</v>
      </c>
      <c r="J471" s="29" t="s">
        <v>548</v>
      </c>
      <c r="K471" t="s">
        <v>46</v>
      </c>
      <c r="L471">
        <v>0</v>
      </c>
      <c r="M471" t="s">
        <v>64</v>
      </c>
      <c r="N471" t="s">
        <v>511</v>
      </c>
    </row>
    <row r="472" spans="1:14" ht="204">
      <c r="A472" t="s">
        <v>570</v>
      </c>
      <c r="B472">
        <v>0.20130000000000001</v>
      </c>
      <c r="H472" t="s">
        <v>573</v>
      </c>
      <c r="I472" s="29" t="s">
        <v>540</v>
      </c>
      <c r="J472" s="29" t="s">
        <v>541</v>
      </c>
      <c r="K472" t="s">
        <v>46</v>
      </c>
      <c r="L472">
        <v>1</v>
      </c>
      <c r="M472" t="s">
        <v>64</v>
      </c>
      <c r="N472" t="s">
        <v>514</v>
      </c>
    </row>
    <row r="473" spans="1:14" ht="68.099999999999994">
      <c r="A473" t="s">
        <v>574</v>
      </c>
      <c r="B473">
        <v>0.33</v>
      </c>
      <c r="H473" t="s">
        <v>575</v>
      </c>
      <c r="I473" s="29" t="s">
        <v>579</v>
      </c>
      <c r="J473" s="29" t="s">
        <v>75</v>
      </c>
      <c r="K473" t="s">
        <v>46</v>
      </c>
      <c r="L473">
        <v>3</v>
      </c>
      <c r="M473" t="s">
        <v>64</v>
      </c>
      <c r="N473" t="s">
        <v>576</v>
      </c>
    </row>
    <row r="474" spans="1:14" ht="272.10000000000002">
      <c r="A474" t="s">
        <v>570</v>
      </c>
      <c r="B474">
        <v>0.33</v>
      </c>
      <c r="H474" t="s">
        <v>577</v>
      </c>
      <c r="I474" s="29" t="s">
        <v>580</v>
      </c>
      <c r="J474" s="29" t="s">
        <v>546</v>
      </c>
      <c r="K474" t="s">
        <v>46</v>
      </c>
      <c r="L474">
        <v>4</v>
      </c>
      <c r="M474" t="s">
        <v>64</v>
      </c>
      <c r="N474" t="s">
        <v>535</v>
      </c>
    </row>
    <row r="475" spans="1:14" ht="339.95">
      <c r="A475" t="s">
        <v>570</v>
      </c>
      <c r="B475">
        <v>0</v>
      </c>
      <c r="H475" t="s">
        <v>571</v>
      </c>
      <c r="I475" s="29" t="s">
        <v>572</v>
      </c>
      <c r="J475" s="29" t="s">
        <v>548</v>
      </c>
      <c r="K475" t="s">
        <v>46</v>
      </c>
      <c r="L475">
        <v>0</v>
      </c>
      <c r="M475" t="s">
        <v>65</v>
      </c>
      <c r="N475" t="s">
        <v>511</v>
      </c>
    </row>
    <row r="476" spans="1:14" ht="33.950000000000003">
      <c r="A476" t="s">
        <v>570</v>
      </c>
      <c r="B476" t="s">
        <v>534</v>
      </c>
      <c r="H476" t="s">
        <v>573</v>
      </c>
      <c r="I476" s="29" t="s">
        <v>558</v>
      </c>
      <c r="K476" t="s">
        <v>46</v>
      </c>
      <c r="L476">
        <v>1</v>
      </c>
      <c r="M476" t="s">
        <v>65</v>
      </c>
      <c r="N476" t="s">
        <v>514</v>
      </c>
    </row>
    <row r="477" spans="1:14" ht="33.950000000000003">
      <c r="A477" t="s">
        <v>574</v>
      </c>
      <c r="H477" t="s">
        <v>575</v>
      </c>
      <c r="I477" s="29" t="s">
        <v>558</v>
      </c>
      <c r="K477" t="s">
        <v>46</v>
      </c>
      <c r="L477">
        <v>3</v>
      </c>
      <c r="M477" t="s">
        <v>65</v>
      </c>
      <c r="N477" t="s">
        <v>576</v>
      </c>
    </row>
    <row r="478" spans="1:14" ht="33.950000000000003">
      <c r="A478" t="s">
        <v>570</v>
      </c>
      <c r="B478" t="s">
        <v>534</v>
      </c>
      <c r="H478" t="s">
        <v>577</v>
      </c>
      <c r="I478" s="29" t="s">
        <v>558</v>
      </c>
      <c r="K478" t="s">
        <v>46</v>
      </c>
      <c r="L478">
        <v>4</v>
      </c>
      <c r="M478" t="s">
        <v>65</v>
      </c>
      <c r="N478" t="s">
        <v>535</v>
      </c>
    </row>
    <row r="479" spans="1:14" ht="255">
      <c r="A479" t="s">
        <v>581</v>
      </c>
      <c r="B479">
        <v>0.35</v>
      </c>
      <c r="C479">
        <v>0.28499999999999998</v>
      </c>
      <c r="D479">
        <v>0.41499999999999998</v>
      </c>
      <c r="E479">
        <v>206</v>
      </c>
      <c r="F479" t="s">
        <v>106</v>
      </c>
      <c r="H479" t="s">
        <v>582</v>
      </c>
      <c r="I479" s="29" t="s">
        <v>583</v>
      </c>
      <c r="J479" s="29" t="s">
        <v>73</v>
      </c>
      <c r="K479" t="s">
        <v>46</v>
      </c>
      <c r="L479">
        <v>0</v>
      </c>
      <c r="M479" t="s">
        <v>381</v>
      </c>
      <c r="N479" t="s">
        <v>576</v>
      </c>
    </row>
    <row r="480" spans="1:14" ht="186.95">
      <c r="A480" t="s">
        <v>581</v>
      </c>
      <c r="B480">
        <v>0.16666666666666666</v>
      </c>
      <c r="H480" t="s">
        <v>582</v>
      </c>
      <c r="I480" s="29" t="s">
        <v>584</v>
      </c>
      <c r="J480" s="29" t="s">
        <v>585</v>
      </c>
      <c r="K480" t="s">
        <v>46</v>
      </c>
      <c r="L480">
        <v>0</v>
      </c>
      <c r="M480" t="s">
        <v>61</v>
      </c>
      <c r="N480" t="s">
        <v>576</v>
      </c>
    </row>
    <row r="481" spans="1:14" ht="51">
      <c r="A481" t="s">
        <v>581</v>
      </c>
      <c r="B481">
        <v>0.68</v>
      </c>
      <c r="H481" t="s">
        <v>582</v>
      </c>
      <c r="J481" s="29" t="s">
        <v>586</v>
      </c>
      <c r="K481" t="s">
        <v>46</v>
      </c>
      <c r="L481">
        <v>0</v>
      </c>
      <c r="M481" t="s">
        <v>64</v>
      </c>
      <c r="N481" t="s">
        <v>576</v>
      </c>
    </row>
    <row r="482" spans="1:14" ht="255">
      <c r="A482" t="s">
        <v>581</v>
      </c>
      <c r="B482">
        <v>0.35</v>
      </c>
      <c r="H482" t="s">
        <v>582</v>
      </c>
      <c r="I482" s="29" t="s">
        <v>587</v>
      </c>
      <c r="J482" s="29" t="s">
        <v>73</v>
      </c>
      <c r="K482" t="s">
        <v>46</v>
      </c>
      <c r="L482">
        <v>0</v>
      </c>
      <c r="M482" t="s">
        <v>65</v>
      </c>
      <c r="N482" t="s">
        <v>576</v>
      </c>
    </row>
    <row r="483" spans="1:14" ht="170.1">
      <c r="A483" t="s">
        <v>588</v>
      </c>
      <c r="B483">
        <v>0.44</v>
      </c>
      <c r="H483" t="s">
        <v>589</v>
      </c>
      <c r="I483" s="29" t="s">
        <v>590</v>
      </c>
      <c r="J483" s="29" t="s">
        <v>72</v>
      </c>
      <c r="K483" t="s">
        <v>46</v>
      </c>
      <c r="L483">
        <v>0</v>
      </c>
      <c r="M483" t="s">
        <v>381</v>
      </c>
      <c r="N483" t="s">
        <v>591</v>
      </c>
    </row>
    <row r="484" spans="1:14" ht="119.1">
      <c r="A484" t="s">
        <v>588</v>
      </c>
      <c r="B484">
        <v>0.44</v>
      </c>
      <c r="H484" t="s">
        <v>589</v>
      </c>
      <c r="I484" s="29" t="s">
        <v>592</v>
      </c>
      <c r="J484" s="29" t="s">
        <v>72</v>
      </c>
      <c r="K484" t="s">
        <v>46</v>
      </c>
      <c r="L484">
        <v>0</v>
      </c>
      <c r="M484" t="s">
        <v>61</v>
      </c>
      <c r="N484" t="s">
        <v>591</v>
      </c>
    </row>
    <row r="485" spans="1:14" ht="119.1">
      <c r="A485" t="s">
        <v>588</v>
      </c>
      <c r="B485">
        <v>0.44</v>
      </c>
      <c r="H485" t="s">
        <v>589</v>
      </c>
      <c r="I485" s="29" t="s">
        <v>592</v>
      </c>
      <c r="J485" s="29" t="s">
        <v>72</v>
      </c>
      <c r="K485" t="s">
        <v>46</v>
      </c>
      <c r="L485">
        <v>0</v>
      </c>
      <c r="M485" t="s">
        <v>64</v>
      </c>
      <c r="N485" t="s">
        <v>591</v>
      </c>
    </row>
    <row r="486" spans="1:14" ht="119.1">
      <c r="A486" t="s">
        <v>588</v>
      </c>
      <c r="B486">
        <v>0.44</v>
      </c>
      <c r="H486" t="s">
        <v>589</v>
      </c>
      <c r="I486" s="29" t="s">
        <v>592</v>
      </c>
      <c r="J486" s="29" t="s">
        <v>72</v>
      </c>
      <c r="K486" t="s">
        <v>46</v>
      </c>
      <c r="L486">
        <v>0</v>
      </c>
      <c r="M486" t="s">
        <v>65</v>
      </c>
      <c r="N486" t="s">
        <v>591</v>
      </c>
    </row>
    <row r="487" spans="1:14" ht="102">
      <c r="A487" t="s">
        <v>593</v>
      </c>
      <c r="B487">
        <v>187</v>
      </c>
      <c r="I487" s="29" t="s">
        <v>594</v>
      </c>
      <c r="J487" s="29" t="s">
        <v>595</v>
      </c>
      <c r="K487" t="s">
        <v>8</v>
      </c>
      <c r="M487" t="s">
        <v>381</v>
      </c>
      <c r="N487" t="s">
        <v>514</v>
      </c>
    </row>
    <row r="488" spans="1:14" ht="102">
      <c r="A488" t="s">
        <v>593</v>
      </c>
      <c r="B488">
        <v>17</v>
      </c>
      <c r="I488" s="29" t="s">
        <v>594</v>
      </c>
      <c r="J488" s="29" t="s">
        <v>595</v>
      </c>
      <c r="K488" t="s">
        <v>8</v>
      </c>
      <c r="M488" t="s">
        <v>381</v>
      </c>
      <c r="N488" t="s">
        <v>516</v>
      </c>
    </row>
    <row r="489" spans="1:14" ht="102">
      <c r="A489" t="s">
        <v>593</v>
      </c>
      <c r="B489">
        <v>1</v>
      </c>
      <c r="I489" s="29" t="s">
        <v>594</v>
      </c>
      <c r="J489" s="29" t="s">
        <v>595</v>
      </c>
      <c r="K489" t="s">
        <v>8</v>
      </c>
      <c r="M489" t="s">
        <v>381</v>
      </c>
      <c r="N489" t="s">
        <v>518</v>
      </c>
    </row>
    <row r="490" spans="1:14" ht="68.099999999999994">
      <c r="A490" t="s">
        <v>593</v>
      </c>
      <c r="B490">
        <v>291</v>
      </c>
      <c r="I490" s="29" t="s">
        <v>594</v>
      </c>
      <c r="J490" s="29" t="s">
        <v>71</v>
      </c>
      <c r="K490" t="s">
        <v>8</v>
      </c>
      <c r="M490" t="s">
        <v>61</v>
      </c>
      <c r="N490" t="s">
        <v>514</v>
      </c>
    </row>
    <row r="491" spans="1:14" ht="68.099999999999994">
      <c r="A491" t="s">
        <v>593</v>
      </c>
      <c r="B491">
        <v>50</v>
      </c>
      <c r="I491" s="29" t="s">
        <v>594</v>
      </c>
      <c r="J491" s="29" t="s">
        <v>71</v>
      </c>
      <c r="K491" t="s">
        <v>8</v>
      </c>
      <c r="M491" t="s">
        <v>61</v>
      </c>
      <c r="N491" t="s">
        <v>516</v>
      </c>
    </row>
    <row r="492" spans="1:14" ht="68.099999999999994">
      <c r="A492" t="s">
        <v>593</v>
      </c>
      <c r="B492">
        <v>4</v>
      </c>
      <c r="I492" s="29" t="s">
        <v>594</v>
      </c>
      <c r="J492" s="29" t="s">
        <v>71</v>
      </c>
      <c r="K492" t="s">
        <v>8</v>
      </c>
      <c r="M492" t="s">
        <v>61</v>
      </c>
      <c r="N492" t="s">
        <v>518</v>
      </c>
    </row>
    <row r="493" spans="1:14" ht="68.099999999999994">
      <c r="A493" t="s">
        <v>593</v>
      </c>
      <c r="B493">
        <v>337</v>
      </c>
      <c r="I493" s="29" t="s">
        <v>594</v>
      </c>
      <c r="J493" s="29" t="s">
        <v>71</v>
      </c>
      <c r="K493" t="s">
        <v>8</v>
      </c>
      <c r="M493" t="s">
        <v>64</v>
      </c>
      <c r="N493" t="s">
        <v>514</v>
      </c>
    </row>
    <row r="494" spans="1:14" ht="68.099999999999994">
      <c r="A494" t="s">
        <v>593</v>
      </c>
      <c r="B494">
        <v>25</v>
      </c>
      <c r="I494" s="29" t="s">
        <v>594</v>
      </c>
      <c r="J494" s="29" t="s">
        <v>71</v>
      </c>
      <c r="K494" t="s">
        <v>8</v>
      </c>
      <c r="M494" t="s">
        <v>64</v>
      </c>
      <c r="N494" t="s">
        <v>516</v>
      </c>
    </row>
    <row r="495" spans="1:14" ht="68.099999999999994">
      <c r="A495" t="s">
        <v>593</v>
      </c>
      <c r="B495">
        <v>0</v>
      </c>
      <c r="I495" s="29" t="s">
        <v>594</v>
      </c>
      <c r="J495" s="29" t="s">
        <v>71</v>
      </c>
      <c r="K495" t="s">
        <v>8</v>
      </c>
      <c r="M495" t="s">
        <v>64</v>
      </c>
      <c r="N495" t="s">
        <v>518</v>
      </c>
    </row>
    <row r="496" spans="1:14" ht="68.099999999999994">
      <c r="A496" t="s">
        <v>593</v>
      </c>
      <c r="B496">
        <v>389</v>
      </c>
      <c r="I496" s="29" t="s">
        <v>594</v>
      </c>
      <c r="J496" s="29" t="s">
        <v>71</v>
      </c>
      <c r="K496" t="s">
        <v>8</v>
      </c>
      <c r="M496" t="s">
        <v>65</v>
      </c>
      <c r="N496" t="s">
        <v>514</v>
      </c>
    </row>
    <row r="497" spans="1:14" ht="68.099999999999994">
      <c r="A497" t="s">
        <v>593</v>
      </c>
      <c r="B497">
        <v>36</v>
      </c>
      <c r="I497" s="29" t="s">
        <v>594</v>
      </c>
      <c r="J497" s="29" t="s">
        <v>71</v>
      </c>
      <c r="K497" t="s">
        <v>8</v>
      </c>
      <c r="M497" t="s">
        <v>65</v>
      </c>
      <c r="N497" t="s">
        <v>516</v>
      </c>
    </row>
    <row r="498" spans="1:14" ht="68.099999999999994">
      <c r="A498" t="s">
        <v>593</v>
      </c>
      <c r="B498">
        <v>1</v>
      </c>
      <c r="I498" s="29" t="s">
        <v>594</v>
      </c>
      <c r="J498" s="29" t="s">
        <v>71</v>
      </c>
      <c r="K498" t="s">
        <v>8</v>
      </c>
      <c r="M498" t="s">
        <v>65</v>
      </c>
      <c r="N498" t="s">
        <v>518</v>
      </c>
    </row>
    <row r="499" spans="1:14" ht="153">
      <c r="A499" t="s">
        <v>596</v>
      </c>
      <c r="B499">
        <v>169</v>
      </c>
      <c r="I499" s="29" t="s">
        <v>597</v>
      </c>
      <c r="J499" s="29" t="s">
        <v>595</v>
      </c>
      <c r="K499" t="s">
        <v>8</v>
      </c>
      <c r="M499" t="s">
        <v>381</v>
      </c>
      <c r="N499" t="s">
        <v>514</v>
      </c>
    </row>
    <row r="500" spans="1:14" ht="153">
      <c r="A500" t="s">
        <v>596</v>
      </c>
      <c r="B500">
        <v>34</v>
      </c>
      <c r="I500" s="29" t="s">
        <v>597</v>
      </c>
      <c r="J500" s="29" t="s">
        <v>595</v>
      </c>
      <c r="K500" t="s">
        <v>8</v>
      </c>
      <c r="M500" t="s">
        <v>381</v>
      </c>
      <c r="N500" t="s">
        <v>516</v>
      </c>
    </row>
    <row r="501" spans="1:14" ht="153">
      <c r="A501" t="s">
        <v>596</v>
      </c>
      <c r="B501">
        <v>2</v>
      </c>
      <c r="I501" s="29" t="s">
        <v>597</v>
      </c>
      <c r="J501" s="29" t="s">
        <v>595</v>
      </c>
      <c r="K501" t="s">
        <v>8</v>
      </c>
      <c r="M501" t="s">
        <v>381</v>
      </c>
      <c r="N501" t="s">
        <v>518</v>
      </c>
    </row>
    <row r="502" spans="1:14" ht="153">
      <c r="A502" t="s">
        <v>596</v>
      </c>
      <c r="B502">
        <v>291</v>
      </c>
      <c r="I502" s="29" t="s">
        <v>597</v>
      </c>
      <c r="J502" s="29" t="s">
        <v>71</v>
      </c>
      <c r="K502" t="s">
        <v>8</v>
      </c>
      <c r="M502" t="s">
        <v>61</v>
      </c>
      <c r="N502" t="s">
        <v>514</v>
      </c>
    </row>
    <row r="503" spans="1:14" ht="153">
      <c r="A503" t="s">
        <v>596</v>
      </c>
      <c r="B503">
        <v>46.153846153846153</v>
      </c>
      <c r="I503" s="29" t="s">
        <v>597</v>
      </c>
      <c r="J503" s="29" t="s">
        <v>71</v>
      </c>
      <c r="K503" t="s">
        <v>8</v>
      </c>
      <c r="M503" t="s">
        <v>61</v>
      </c>
      <c r="N503" t="s">
        <v>516</v>
      </c>
    </row>
    <row r="504" spans="1:14" ht="153">
      <c r="A504" t="s">
        <v>596</v>
      </c>
      <c r="B504">
        <v>4</v>
      </c>
      <c r="I504" s="29" t="s">
        <v>597</v>
      </c>
      <c r="J504" s="29" t="s">
        <v>71</v>
      </c>
      <c r="K504" t="s">
        <v>8</v>
      </c>
      <c r="M504" t="s">
        <v>61</v>
      </c>
      <c r="N504" t="s">
        <v>518</v>
      </c>
    </row>
    <row r="505" spans="1:14" ht="153">
      <c r="A505" t="s">
        <v>596</v>
      </c>
      <c r="B505">
        <v>0</v>
      </c>
      <c r="I505" s="29" t="s">
        <v>597</v>
      </c>
      <c r="J505" s="29" t="s">
        <v>71</v>
      </c>
      <c r="K505" t="s">
        <v>8</v>
      </c>
      <c r="M505" t="s">
        <v>64</v>
      </c>
      <c r="N505" t="s">
        <v>514</v>
      </c>
    </row>
    <row r="506" spans="1:14" ht="153">
      <c r="A506" t="s">
        <v>596</v>
      </c>
      <c r="B506">
        <v>22.727272727272727</v>
      </c>
      <c r="I506" s="29" t="s">
        <v>597</v>
      </c>
      <c r="J506" s="29" t="s">
        <v>71</v>
      </c>
      <c r="K506" t="s">
        <v>8</v>
      </c>
      <c r="M506" t="s">
        <v>64</v>
      </c>
      <c r="N506" t="s">
        <v>516</v>
      </c>
    </row>
    <row r="507" spans="1:14" ht="153">
      <c r="A507" t="s">
        <v>596</v>
      </c>
      <c r="B507">
        <v>0</v>
      </c>
      <c r="I507" s="29" t="s">
        <v>597</v>
      </c>
      <c r="J507" s="29" t="s">
        <v>71</v>
      </c>
      <c r="K507" t="s">
        <v>8</v>
      </c>
      <c r="M507" t="s">
        <v>64</v>
      </c>
      <c r="N507" t="s">
        <v>518</v>
      </c>
    </row>
    <row r="508" spans="1:14" ht="153">
      <c r="A508" t="s">
        <v>596</v>
      </c>
      <c r="B508">
        <v>0</v>
      </c>
      <c r="I508" s="29" t="s">
        <v>597</v>
      </c>
      <c r="J508" s="29" t="s">
        <v>71</v>
      </c>
      <c r="K508" t="s">
        <v>8</v>
      </c>
      <c r="M508" t="s">
        <v>65</v>
      </c>
      <c r="N508" t="s">
        <v>514</v>
      </c>
    </row>
    <row r="509" spans="1:14" ht="153">
      <c r="A509" t="s">
        <v>596</v>
      </c>
      <c r="B509">
        <v>72</v>
      </c>
      <c r="I509" s="29" t="s">
        <v>597</v>
      </c>
      <c r="J509" s="29" t="s">
        <v>71</v>
      </c>
      <c r="K509" t="s">
        <v>8</v>
      </c>
      <c r="M509" t="s">
        <v>65</v>
      </c>
      <c r="N509" t="s">
        <v>516</v>
      </c>
    </row>
    <row r="510" spans="1:14" ht="153">
      <c r="A510" t="s">
        <v>596</v>
      </c>
      <c r="B510">
        <v>3</v>
      </c>
      <c r="I510" s="29" t="s">
        <v>597</v>
      </c>
      <c r="J510" s="29" t="s">
        <v>71</v>
      </c>
      <c r="K510" t="s">
        <v>8</v>
      </c>
      <c r="M510" t="s">
        <v>65</v>
      </c>
      <c r="N510" t="s">
        <v>518</v>
      </c>
    </row>
    <row r="511" spans="1:14" ht="119.1">
      <c r="A511" t="s">
        <v>598</v>
      </c>
      <c r="B511">
        <v>0</v>
      </c>
      <c r="I511" s="29" t="s">
        <v>599</v>
      </c>
      <c r="J511" s="29" t="s">
        <v>595</v>
      </c>
      <c r="K511" t="s">
        <v>8</v>
      </c>
      <c r="M511" t="s">
        <v>381</v>
      </c>
      <c r="N511" t="s">
        <v>514</v>
      </c>
    </row>
    <row r="512" spans="1:14" ht="119.1">
      <c r="A512" t="s">
        <v>598</v>
      </c>
      <c r="B512">
        <v>0</v>
      </c>
      <c r="I512" s="29" t="s">
        <v>599</v>
      </c>
      <c r="J512" s="29" t="s">
        <v>595</v>
      </c>
      <c r="K512" t="s">
        <v>8</v>
      </c>
      <c r="M512" t="s">
        <v>381</v>
      </c>
      <c r="N512" t="s">
        <v>516</v>
      </c>
    </row>
    <row r="513" spans="1:14" ht="119.1">
      <c r="A513" t="s">
        <v>598</v>
      </c>
      <c r="B513">
        <v>0</v>
      </c>
      <c r="I513" s="29" t="s">
        <v>599</v>
      </c>
      <c r="J513" s="29" t="s">
        <v>595</v>
      </c>
      <c r="K513" t="s">
        <v>8</v>
      </c>
      <c r="M513" t="s">
        <v>381</v>
      </c>
      <c r="N513" t="s">
        <v>518</v>
      </c>
    </row>
    <row r="514" spans="1:14" ht="119.1">
      <c r="A514" t="s">
        <v>598</v>
      </c>
      <c r="B514">
        <v>0</v>
      </c>
      <c r="I514" s="29" t="s">
        <v>599</v>
      </c>
      <c r="J514" s="29" t="s">
        <v>71</v>
      </c>
      <c r="K514" t="s">
        <v>8</v>
      </c>
      <c r="M514" t="s">
        <v>61</v>
      </c>
      <c r="N514" t="s">
        <v>514</v>
      </c>
    </row>
    <row r="515" spans="1:14" ht="119.1">
      <c r="A515" t="s">
        <v>598</v>
      </c>
      <c r="B515">
        <v>3.3333333333333335</v>
      </c>
      <c r="I515" s="29" t="s">
        <v>599</v>
      </c>
      <c r="J515" s="29" t="s">
        <v>71</v>
      </c>
      <c r="K515" t="s">
        <v>8</v>
      </c>
      <c r="M515" t="s">
        <v>61</v>
      </c>
      <c r="N515" t="s">
        <v>516</v>
      </c>
    </row>
    <row r="516" spans="1:14" ht="119.1">
      <c r="A516" t="s">
        <v>598</v>
      </c>
      <c r="B516">
        <v>0</v>
      </c>
      <c r="I516" s="29" t="s">
        <v>599</v>
      </c>
      <c r="J516" s="29" t="s">
        <v>71</v>
      </c>
      <c r="K516" t="s">
        <v>8</v>
      </c>
      <c r="M516" t="s">
        <v>61</v>
      </c>
      <c r="N516" t="s">
        <v>518</v>
      </c>
    </row>
    <row r="517" spans="1:14" ht="119.1">
      <c r="A517" t="s">
        <v>598</v>
      </c>
      <c r="B517">
        <v>0</v>
      </c>
      <c r="I517" s="29" t="s">
        <v>599</v>
      </c>
      <c r="J517" s="29" t="s">
        <v>71</v>
      </c>
      <c r="K517" t="s">
        <v>8</v>
      </c>
      <c r="M517" t="s">
        <v>64</v>
      </c>
      <c r="N517" t="s">
        <v>514</v>
      </c>
    </row>
    <row r="518" spans="1:14" ht="119.1">
      <c r="A518" t="s">
        <v>598</v>
      </c>
      <c r="B518">
        <v>0</v>
      </c>
      <c r="I518" s="29" t="s">
        <v>599</v>
      </c>
      <c r="J518" s="29" t="s">
        <v>71</v>
      </c>
      <c r="K518" t="s">
        <v>8</v>
      </c>
      <c r="M518" t="s">
        <v>64</v>
      </c>
      <c r="N518" t="s">
        <v>516</v>
      </c>
    </row>
    <row r="519" spans="1:14" ht="119.1">
      <c r="A519" t="s">
        <v>598</v>
      </c>
      <c r="B519">
        <v>0</v>
      </c>
      <c r="I519" s="29" t="s">
        <v>599</v>
      </c>
      <c r="J519" s="29" t="s">
        <v>71</v>
      </c>
      <c r="K519" t="s">
        <v>8</v>
      </c>
      <c r="M519" t="s">
        <v>64</v>
      </c>
      <c r="N519" t="s">
        <v>518</v>
      </c>
    </row>
    <row r="520" spans="1:14" ht="119.1">
      <c r="A520" t="s">
        <v>598</v>
      </c>
      <c r="I520" s="29" t="s">
        <v>599</v>
      </c>
      <c r="J520" s="29" t="s">
        <v>71</v>
      </c>
      <c r="K520" t="s">
        <v>8</v>
      </c>
      <c r="M520" t="s">
        <v>65</v>
      </c>
      <c r="N520" t="s">
        <v>514</v>
      </c>
    </row>
    <row r="521" spans="1:14" ht="119.1">
      <c r="A521" t="s">
        <v>598</v>
      </c>
      <c r="I521" s="29" t="s">
        <v>599</v>
      </c>
      <c r="J521" s="29" t="s">
        <v>71</v>
      </c>
      <c r="K521" t="s">
        <v>8</v>
      </c>
      <c r="M521" t="s">
        <v>65</v>
      </c>
      <c r="N521" t="s">
        <v>516</v>
      </c>
    </row>
    <row r="522" spans="1:14" ht="119.1">
      <c r="A522" t="s">
        <v>598</v>
      </c>
      <c r="I522" s="29" t="s">
        <v>599</v>
      </c>
      <c r="J522" s="29" t="s">
        <v>71</v>
      </c>
      <c r="K522" t="s">
        <v>8</v>
      </c>
      <c r="M522" t="s">
        <v>65</v>
      </c>
      <c r="N522" t="s">
        <v>518</v>
      </c>
    </row>
    <row r="523" spans="1:14" ht="119.1">
      <c r="A523" t="s">
        <v>600</v>
      </c>
      <c r="B523">
        <v>0</v>
      </c>
      <c r="I523" s="29" t="s">
        <v>601</v>
      </c>
      <c r="J523" s="29" t="s">
        <v>595</v>
      </c>
      <c r="K523" t="s">
        <v>8</v>
      </c>
      <c r="M523" t="s">
        <v>381</v>
      </c>
      <c r="N523" t="s">
        <v>514</v>
      </c>
    </row>
    <row r="524" spans="1:14" ht="119.1">
      <c r="A524" t="s">
        <v>600</v>
      </c>
      <c r="B524">
        <v>25</v>
      </c>
      <c r="I524" s="29" t="s">
        <v>601</v>
      </c>
      <c r="J524" s="29" t="s">
        <v>595</v>
      </c>
      <c r="K524" t="s">
        <v>8</v>
      </c>
      <c r="M524" t="s">
        <v>381</v>
      </c>
      <c r="N524" t="s">
        <v>516</v>
      </c>
    </row>
    <row r="525" spans="1:14" ht="119.1">
      <c r="A525" t="s">
        <v>600</v>
      </c>
      <c r="B525">
        <v>7</v>
      </c>
      <c r="I525" s="29" t="s">
        <v>601</v>
      </c>
      <c r="J525" s="29" t="s">
        <v>595</v>
      </c>
      <c r="K525" t="s">
        <v>8</v>
      </c>
      <c r="M525" t="s">
        <v>381</v>
      </c>
      <c r="N525" t="s">
        <v>518</v>
      </c>
    </row>
    <row r="526" spans="1:14" ht="119.1">
      <c r="A526" t="s">
        <v>600</v>
      </c>
      <c r="B526">
        <v>0</v>
      </c>
      <c r="I526" s="29" t="s">
        <v>601</v>
      </c>
      <c r="J526" s="29" t="s">
        <v>71</v>
      </c>
      <c r="K526" t="s">
        <v>8</v>
      </c>
      <c r="M526" t="s">
        <v>61</v>
      </c>
      <c r="N526" t="s">
        <v>514</v>
      </c>
    </row>
    <row r="527" spans="1:14" ht="119.1">
      <c r="A527" t="s">
        <v>600</v>
      </c>
      <c r="B527">
        <v>6.666666666666667</v>
      </c>
      <c r="I527" s="29" t="s">
        <v>601</v>
      </c>
      <c r="J527" s="29" t="s">
        <v>71</v>
      </c>
      <c r="K527" t="s">
        <v>8</v>
      </c>
      <c r="M527" t="s">
        <v>61</v>
      </c>
      <c r="N527" t="s">
        <v>516</v>
      </c>
    </row>
    <row r="528" spans="1:14" ht="119.1">
      <c r="A528" t="s">
        <v>600</v>
      </c>
      <c r="B528">
        <v>0</v>
      </c>
      <c r="I528" s="29" t="s">
        <v>601</v>
      </c>
      <c r="J528" s="29" t="s">
        <v>71</v>
      </c>
      <c r="K528" t="s">
        <v>8</v>
      </c>
      <c r="M528" t="s">
        <v>61</v>
      </c>
      <c r="N528" t="s">
        <v>518</v>
      </c>
    </row>
    <row r="529" spans="1:14" ht="119.1">
      <c r="A529" t="s">
        <v>600</v>
      </c>
      <c r="B529">
        <v>0</v>
      </c>
      <c r="I529" s="29" t="s">
        <v>601</v>
      </c>
      <c r="J529" s="29" t="s">
        <v>71</v>
      </c>
      <c r="K529" t="s">
        <v>8</v>
      </c>
      <c r="M529" t="s">
        <v>64</v>
      </c>
      <c r="N529" t="s">
        <v>514</v>
      </c>
    </row>
    <row r="530" spans="1:14" ht="119.1">
      <c r="A530" t="s">
        <v>600</v>
      </c>
      <c r="B530">
        <v>5.7692307692307692</v>
      </c>
      <c r="I530" s="29" t="s">
        <v>601</v>
      </c>
      <c r="J530" s="29" t="s">
        <v>71</v>
      </c>
      <c r="K530" t="s">
        <v>8</v>
      </c>
      <c r="M530" t="s">
        <v>64</v>
      </c>
      <c r="N530" t="s">
        <v>516</v>
      </c>
    </row>
    <row r="531" spans="1:14" ht="119.1">
      <c r="A531" t="s">
        <v>600</v>
      </c>
      <c r="B531">
        <v>0</v>
      </c>
      <c r="I531" s="29" t="s">
        <v>601</v>
      </c>
      <c r="J531" s="29" t="s">
        <v>71</v>
      </c>
      <c r="K531" t="s">
        <v>8</v>
      </c>
      <c r="M531" t="s">
        <v>64</v>
      </c>
      <c r="N531" t="s">
        <v>518</v>
      </c>
    </row>
    <row r="532" spans="1:14" ht="119.1">
      <c r="A532" t="s">
        <v>600</v>
      </c>
      <c r="I532" s="29" t="s">
        <v>601</v>
      </c>
      <c r="J532" s="29" t="s">
        <v>71</v>
      </c>
      <c r="K532" t="s">
        <v>8</v>
      </c>
      <c r="M532" t="s">
        <v>65</v>
      </c>
      <c r="N532" t="s">
        <v>514</v>
      </c>
    </row>
    <row r="533" spans="1:14" ht="119.1">
      <c r="A533" t="s">
        <v>600</v>
      </c>
      <c r="I533" s="29" t="s">
        <v>601</v>
      </c>
      <c r="J533" s="29" t="s">
        <v>71</v>
      </c>
      <c r="K533" t="s">
        <v>8</v>
      </c>
      <c r="M533" t="s">
        <v>65</v>
      </c>
      <c r="N533" t="s">
        <v>516</v>
      </c>
    </row>
    <row r="534" spans="1:14" ht="119.1">
      <c r="A534" t="s">
        <v>600</v>
      </c>
      <c r="I534" s="29" t="s">
        <v>601</v>
      </c>
      <c r="J534" s="29" t="s">
        <v>71</v>
      </c>
      <c r="K534" t="s">
        <v>8</v>
      </c>
      <c r="M534" t="s">
        <v>65</v>
      </c>
      <c r="N534" t="s">
        <v>518</v>
      </c>
    </row>
    <row r="535" spans="1:14">
      <c r="A535" t="s">
        <v>602</v>
      </c>
      <c r="K535" t="s">
        <v>8</v>
      </c>
      <c r="M535" t="s">
        <v>381</v>
      </c>
      <c r="N535" t="s">
        <v>514</v>
      </c>
    </row>
    <row r="536" spans="1:14">
      <c r="A536" t="s">
        <v>602</v>
      </c>
      <c r="K536" t="s">
        <v>8</v>
      </c>
      <c r="M536" t="s">
        <v>381</v>
      </c>
      <c r="N536" t="s">
        <v>516</v>
      </c>
    </row>
    <row r="537" spans="1:14">
      <c r="A537" t="s">
        <v>602</v>
      </c>
      <c r="K537" t="s">
        <v>8</v>
      </c>
      <c r="M537" t="s">
        <v>381</v>
      </c>
      <c r="N537" t="s">
        <v>518</v>
      </c>
    </row>
    <row r="538" spans="1:14" ht="84.95">
      <c r="A538" t="s">
        <v>602</v>
      </c>
      <c r="B538">
        <v>0</v>
      </c>
      <c r="I538" s="29" t="s">
        <v>603</v>
      </c>
      <c r="J538" s="29" t="s">
        <v>71</v>
      </c>
      <c r="K538" t="s">
        <v>8</v>
      </c>
      <c r="M538" t="s">
        <v>61</v>
      </c>
      <c r="N538" t="s">
        <v>514</v>
      </c>
    </row>
    <row r="539" spans="1:14" ht="84.95">
      <c r="A539" t="s">
        <v>602</v>
      </c>
      <c r="B539">
        <v>50</v>
      </c>
      <c r="I539" s="29" t="s">
        <v>603</v>
      </c>
      <c r="J539" s="29" t="s">
        <v>71</v>
      </c>
      <c r="K539" t="s">
        <v>8</v>
      </c>
      <c r="M539" t="s">
        <v>61</v>
      </c>
      <c r="N539" t="s">
        <v>516</v>
      </c>
    </row>
    <row r="540" spans="1:14" ht="84.95">
      <c r="A540" t="s">
        <v>602</v>
      </c>
      <c r="B540">
        <v>0</v>
      </c>
      <c r="I540" s="29" t="s">
        <v>603</v>
      </c>
      <c r="J540" s="29" t="s">
        <v>71</v>
      </c>
      <c r="K540" t="s">
        <v>8</v>
      </c>
      <c r="M540" t="s">
        <v>61</v>
      </c>
      <c r="N540" t="s">
        <v>518</v>
      </c>
    </row>
    <row r="541" spans="1:14" ht="84.95">
      <c r="A541" t="s">
        <v>602</v>
      </c>
      <c r="B541">
        <v>19.823529411764707</v>
      </c>
      <c r="I541" s="29" t="s">
        <v>603</v>
      </c>
      <c r="J541" s="29" t="s">
        <v>71</v>
      </c>
      <c r="K541" t="s">
        <v>8</v>
      </c>
      <c r="M541" t="s">
        <v>64</v>
      </c>
      <c r="N541" t="s">
        <v>514</v>
      </c>
    </row>
    <row r="542" spans="1:14" ht="84.95">
      <c r="A542" t="s">
        <v>602</v>
      </c>
      <c r="B542">
        <v>96.15384615384616</v>
      </c>
      <c r="I542" s="29" t="s">
        <v>603</v>
      </c>
      <c r="J542" s="29" t="s">
        <v>71</v>
      </c>
      <c r="K542" t="s">
        <v>8</v>
      </c>
      <c r="M542" t="s">
        <v>64</v>
      </c>
      <c r="N542" t="s">
        <v>516</v>
      </c>
    </row>
    <row r="543" spans="1:14" ht="84.95">
      <c r="A543" t="s">
        <v>602</v>
      </c>
      <c r="B543">
        <v>0</v>
      </c>
      <c r="I543" s="29" t="s">
        <v>603</v>
      </c>
      <c r="J543" s="29" t="s">
        <v>71</v>
      </c>
      <c r="K543" t="s">
        <v>8</v>
      </c>
      <c r="M543" t="s">
        <v>64</v>
      </c>
      <c r="N543" t="s">
        <v>518</v>
      </c>
    </row>
    <row r="544" spans="1:14" ht="84.95">
      <c r="A544" t="s">
        <v>602</v>
      </c>
      <c r="I544" s="29" t="s">
        <v>603</v>
      </c>
      <c r="J544" s="29" t="s">
        <v>71</v>
      </c>
      <c r="K544" t="s">
        <v>8</v>
      </c>
      <c r="M544" t="s">
        <v>65</v>
      </c>
      <c r="N544" t="s">
        <v>514</v>
      </c>
    </row>
    <row r="545" spans="1:14" ht="84.95">
      <c r="A545" t="s">
        <v>602</v>
      </c>
      <c r="I545" s="29" t="s">
        <v>603</v>
      </c>
      <c r="J545" s="29" t="s">
        <v>71</v>
      </c>
      <c r="K545" t="s">
        <v>8</v>
      </c>
      <c r="M545" t="s">
        <v>65</v>
      </c>
      <c r="N545" t="s">
        <v>516</v>
      </c>
    </row>
    <row r="546" spans="1:14" ht="84.95">
      <c r="A546" t="s">
        <v>602</v>
      </c>
      <c r="I546" s="29" t="s">
        <v>603</v>
      </c>
      <c r="J546" s="29" t="s">
        <v>71</v>
      </c>
      <c r="K546" t="s">
        <v>8</v>
      </c>
      <c r="M546" t="s">
        <v>65</v>
      </c>
      <c r="N546" t="s">
        <v>518</v>
      </c>
    </row>
    <row r="547" spans="1:14">
      <c r="A547" t="s">
        <v>604</v>
      </c>
      <c r="K547" t="s">
        <v>8</v>
      </c>
      <c r="M547" t="s">
        <v>381</v>
      </c>
      <c r="N547" t="s">
        <v>514</v>
      </c>
    </row>
    <row r="548" spans="1:14">
      <c r="A548" t="s">
        <v>604</v>
      </c>
      <c r="K548" t="s">
        <v>8</v>
      </c>
      <c r="M548" t="s">
        <v>381</v>
      </c>
      <c r="N548" t="s">
        <v>516</v>
      </c>
    </row>
    <row r="549" spans="1:14">
      <c r="A549" t="s">
        <v>604</v>
      </c>
      <c r="K549" t="s">
        <v>8</v>
      </c>
      <c r="M549" t="s">
        <v>381</v>
      </c>
      <c r="N549" t="s">
        <v>518</v>
      </c>
    </row>
    <row r="550" spans="1:14" ht="84.95">
      <c r="A550" t="s">
        <v>604</v>
      </c>
      <c r="B550">
        <v>671.53846153846143</v>
      </c>
      <c r="I550" s="29" t="s">
        <v>605</v>
      </c>
      <c r="J550" s="29" t="s">
        <v>71</v>
      </c>
      <c r="K550" t="s">
        <v>8</v>
      </c>
      <c r="M550" t="s">
        <v>61</v>
      </c>
      <c r="N550" t="s">
        <v>514</v>
      </c>
    </row>
    <row r="551" spans="1:14" ht="84.95">
      <c r="A551" t="s">
        <v>604</v>
      </c>
      <c r="B551">
        <v>383.33333333333337</v>
      </c>
      <c r="I551" s="29" t="s">
        <v>605</v>
      </c>
      <c r="J551" s="29" t="s">
        <v>71</v>
      </c>
      <c r="K551" t="s">
        <v>8</v>
      </c>
      <c r="M551" t="s">
        <v>61</v>
      </c>
      <c r="N551" t="s">
        <v>516</v>
      </c>
    </row>
    <row r="552" spans="1:14" ht="84.95">
      <c r="A552" t="s">
        <v>604</v>
      </c>
      <c r="B552">
        <v>0</v>
      </c>
      <c r="I552" s="29" t="s">
        <v>605</v>
      </c>
      <c r="J552" s="29" t="s">
        <v>71</v>
      </c>
      <c r="K552" t="s">
        <v>8</v>
      </c>
      <c r="M552" t="s">
        <v>61</v>
      </c>
      <c r="N552" t="s">
        <v>518</v>
      </c>
    </row>
    <row r="553" spans="1:14" ht="84.95">
      <c r="A553" t="s">
        <v>604</v>
      </c>
      <c r="B553">
        <v>634.35294117647061</v>
      </c>
      <c r="I553" s="29" t="s">
        <v>605</v>
      </c>
      <c r="J553" s="29" t="s">
        <v>71</v>
      </c>
      <c r="K553" t="s">
        <v>8</v>
      </c>
      <c r="M553" t="s">
        <v>64</v>
      </c>
      <c r="N553" t="s">
        <v>514</v>
      </c>
    </row>
    <row r="554" spans="1:14" ht="84.95">
      <c r="A554" t="s">
        <v>604</v>
      </c>
      <c r="B554">
        <v>250</v>
      </c>
      <c r="I554" s="29" t="s">
        <v>605</v>
      </c>
      <c r="J554" s="29" t="s">
        <v>71</v>
      </c>
      <c r="K554" t="s">
        <v>8</v>
      </c>
      <c r="M554" t="s">
        <v>64</v>
      </c>
      <c r="N554" t="s">
        <v>516</v>
      </c>
    </row>
    <row r="555" spans="1:14" ht="84.95">
      <c r="A555" t="s">
        <v>604</v>
      </c>
      <c r="B555">
        <v>0</v>
      </c>
      <c r="I555" s="29" t="s">
        <v>605</v>
      </c>
      <c r="J555" s="29" t="s">
        <v>71</v>
      </c>
      <c r="K555" t="s">
        <v>8</v>
      </c>
      <c r="M555" t="s">
        <v>64</v>
      </c>
      <c r="N555" t="s">
        <v>518</v>
      </c>
    </row>
    <row r="556" spans="1:14" ht="84.95">
      <c r="A556" t="s">
        <v>604</v>
      </c>
      <c r="I556" s="29" t="s">
        <v>605</v>
      </c>
      <c r="J556" s="29" t="s">
        <v>71</v>
      </c>
      <c r="K556" t="s">
        <v>8</v>
      </c>
      <c r="M556" t="s">
        <v>65</v>
      </c>
      <c r="N556" t="s">
        <v>514</v>
      </c>
    </row>
    <row r="557" spans="1:14" ht="84.95">
      <c r="A557" t="s">
        <v>604</v>
      </c>
      <c r="I557" s="29" t="s">
        <v>605</v>
      </c>
      <c r="J557" s="29" t="s">
        <v>71</v>
      </c>
      <c r="K557" t="s">
        <v>8</v>
      </c>
      <c r="M557" t="s">
        <v>65</v>
      </c>
      <c r="N557" t="s">
        <v>516</v>
      </c>
    </row>
    <row r="558" spans="1:14" ht="84.95">
      <c r="A558" t="s">
        <v>604</v>
      </c>
      <c r="I558" s="29" t="s">
        <v>605</v>
      </c>
      <c r="J558" s="29" t="s">
        <v>71</v>
      </c>
      <c r="K558" t="s">
        <v>8</v>
      </c>
      <c r="M558" t="s">
        <v>65</v>
      </c>
      <c r="N558" t="s">
        <v>518</v>
      </c>
    </row>
    <row r="559" spans="1:14" ht="84.95">
      <c r="A559" t="s">
        <v>606</v>
      </c>
      <c r="B559">
        <v>1057</v>
      </c>
      <c r="I559" s="29" t="s">
        <v>607</v>
      </c>
      <c r="J559" s="29" t="s">
        <v>608</v>
      </c>
      <c r="K559" t="s">
        <v>8</v>
      </c>
      <c r="M559" t="s">
        <v>381</v>
      </c>
      <c r="N559" t="s">
        <v>514</v>
      </c>
    </row>
    <row r="560" spans="1:14" ht="84.95">
      <c r="A560" t="s">
        <v>606</v>
      </c>
      <c r="B560">
        <v>147</v>
      </c>
      <c r="I560" s="29" t="s">
        <v>607</v>
      </c>
      <c r="J560" s="29" t="s">
        <v>608</v>
      </c>
      <c r="K560" t="s">
        <v>8</v>
      </c>
      <c r="M560" t="s">
        <v>381</v>
      </c>
      <c r="N560" t="s">
        <v>516</v>
      </c>
    </row>
    <row r="561" spans="1:14" ht="84.95">
      <c r="A561" t="s">
        <v>606</v>
      </c>
      <c r="B561">
        <v>57</v>
      </c>
      <c r="I561" s="29" t="s">
        <v>607</v>
      </c>
      <c r="J561" s="29" t="s">
        <v>608</v>
      </c>
      <c r="K561" t="s">
        <v>8</v>
      </c>
      <c r="M561" t="s">
        <v>381</v>
      </c>
      <c r="N561" t="s">
        <v>518</v>
      </c>
    </row>
    <row r="562" spans="1:14" ht="84.95">
      <c r="A562" t="s">
        <v>606</v>
      </c>
      <c r="B562">
        <v>1566.9230769230771</v>
      </c>
      <c r="I562" s="29" t="s">
        <v>607</v>
      </c>
      <c r="J562" s="29" t="s">
        <v>71</v>
      </c>
      <c r="K562" t="s">
        <v>8</v>
      </c>
      <c r="M562" t="s">
        <v>61</v>
      </c>
      <c r="N562" t="s">
        <v>514</v>
      </c>
    </row>
    <row r="563" spans="1:14" ht="84.95">
      <c r="A563" t="s">
        <v>606</v>
      </c>
      <c r="B563">
        <v>803.33333333333337</v>
      </c>
      <c r="I563" s="29" t="s">
        <v>607</v>
      </c>
      <c r="J563" s="29" t="s">
        <v>71</v>
      </c>
      <c r="K563" t="s">
        <v>8</v>
      </c>
      <c r="M563" t="s">
        <v>61</v>
      </c>
      <c r="N563" t="s">
        <v>516</v>
      </c>
    </row>
    <row r="564" spans="1:14" ht="84.95">
      <c r="A564" t="s">
        <v>606</v>
      </c>
      <c r="B564">
        <v>0</v>
      </c>
      <c r="I564" s="29" t="s">
        <v>607</v>
      </c>
      <c r="J564" s="29" t="s">
        <v>71</v>
      </c>
      <c r="K564" t="s">
        <v>8</v>
      </c>
      <c r="M564" t="s">
        <v>61</v>
      </c>
      <c r="N564" t="s">
        <v>518</v>
      </c>
    </row>
    <row r="565" spans="1:14" ht="84.95">
      <c r="A565" t="s">
        <v>606</v>
      </c>
      <c r="B565">
        <v>1466.9411764705881</v>
      </c>
      <c r="I565" s="29" t="s">
        <v>607</v>
      </c>
      <c r="J565" s="29" t="s">
        <v>71</v>
      </c>
      <c r="K565" t="s">
        <v>8</v>
      </c>
      <c r="M565" t="s">
        <v>64</v>
      </c>
      <c r="N565" t="s">
        <v>514</v>
      </c>
    </row>
    <row r="566" spans="1:14" ht="84.95">
      <c r="A566" t="s">
        <v>606</v>
      </c>
      <c r="B566">
        <v>665.38461538461547</v>
      </c>
      <c r="I566" s="29" t="s">
        <v>607</v>
      </c>
      <c r="J566" s="29" t="s">
        <v>71</v>
      </c>
      <c r="K566" t="s">
        <v>8</v>
      </c>
      <c r="M566" t="s">
        <v>64</v>
      </c>
      <c r="N566" t="s">
        <v>516</v>
      </c>
    </row>
    <row r="567" spans="1:14" ht="84.95">
      <c r="A567" t="s">
        <v>606</v>
      </c>
      <c r="B567">
        <v>0</v>
      </c>
      <c r="I567" s="29" t="s">
        <v>607</v>
      </c>
      <c r="J567" s="29" t="s">
        <v>71</v>
      </c>
      <c r="K567" t="s">
        <v>8</v>
      </c>
      <c r="M567" t="s">
        <v>64</v>
      </c>
      <c r="N567" t="s">
        <v>518</v>
      </c>
    </row>
    <row r="568" spans="1:14" ht="84.95">
      <c r="A568" t="s">
        <v>606</v>
      </c>
      <c r="I568" s="29" t="s">
        <v>607</v>
      </c>
      <c r="J568" s="29" t="s">
        <v>71</v>
      </c>
      <c r="K568" t="s">
        <v>8</v>
      </c>
      <c r="M568" t="s">
        <v>65</v>
      </c>
      <c r="N568" t="s">
        <v>514</v>
      </c>
    </row>
    <row r="569" spans="1:14" ht="84.95">
      <c r="A569" t="s">
        <v>606</v>
      </c>
      <c r="I569" s="29" t="s">
        <v>607</v>
      </c>
      <c r="J569" s="29" t="s">
        <v>71</v>
      </c>
      <c r="K569" t="s">
        <v>8</v>
      </c>
      <c r="M569" t="s">
        <v>65</v>
      </c>
      <c r="N569" t="s">
        <v>516</v>
      </c>
    </row>
    <row r="570" spans="1:14" ht="84.95">
      <c r="A570" t="s">
        <v>606</v>
      </c>
      <c r="I570" s="29" t="s">
        <v>607</v>
      </c>
      <c r="J570" s="29" t="s">
        <v>71</v>
      </c>
      <c r="K570" t="s">
        <v>8</v>
      </c>
      <c r="M570" t="s">
        <v>65</v>
      </c>
      <c r="N570" t="s">
        <v>518</v>
      </c>
    </row>
    <row r="571" spans="1:14" ht="119.1">
      <c r="A571" t="s">
        <v>609</v>
      </c>
      <c r="B571">
        <v>0</v>
      </c>
      <c r="I571" s="29" t="s">
        <v>610</v>
      </c>
      <c r="J571" s="29" t="s">
        <v>608</v>
      </c>
      <c r="K571" t="s">
        <v>8</v>
      </c>
      <c r="M571" t="s">
        <v>381</v>
      </c>
      <c r="N571" t="s">
        <v>514</v>
      </c>
    </row>
    <row r="572" spans="1:14" ht="119.1">
      <c r="A572" t="s">
        <v>609</v>
      </c>
      <c r="B572">
        <v>20</v>
      </c>
      <c r="I572" s="29" t="s">
        <v>610</v>
      </c>
      <c r="J572" s="29" t="s">
        <v>608</v>
      </c>
      <c r="K572" t="s">
        <v>8</v>
      </c>
      <c r="M572" t="s">
        <v>381</v>
      </c>
      <c r="N572" t="s">
        <v>516</v>
      </c>
    </row>
    <row r="573" spans="1:14" ht="119.1">
      <c r="A573" t="s">
        <v>609</v>
      </c>
      <c r="B573">
        <v>11</v>
      </c>
      <c r="I573" s="29" t="s">
        <v>610</v>
      </c>
      <c r="J573" s="29" t="s">
        <v>608</v>
      </c>
      <c r="K573" t="s">
        <v>8</v>
      </c>
      <c r="M573" t="s">
        <v>381</v>
      </c>
      <c r="N573" t="s">
        <v>518</v>
      </c>
    </row>
    <row r="574" spans="1:14" ht="119.1">
      <c r="A574" t="s">
        <v>609</v>
      </c>
      <c r="B574">
        <v>0</v>
      </c>
      <c r="I574" s="29" t="s">
        <v>610</v>
      </c>
      <c r="J574" s="29" t="s">
        <v>71</v>
      </c>
      <c r="K574" t="s">
        <v>8</v>
      </c>
      <c r="M574" t="s">
        <v>61</v>
      </c>
      <c r="N574" t="s">
        <v>514</v>
      </c>
    </row>
    <row r="575" spans="1:14" ht="119.1">
      <c r="A575" t="s">
        <v>609</v>
      </c>
      <c r="B575">
        <v>0</v>
      </c>
      <c r="I575" s="29" t="s">
        <v>610</v>
      </c>
      <c r="J575" s="29" t="s">
        <v>71</v>
      </c>
      <c r="K575" t="s">
        <v>8</v>
      </c>
      <c r="M575" t="s">
        <v>61</v>
      </c>
      <c r="N575" t="s">
        <v>516</v>
      </c>
    </row>
    <row r="576" spans="1:14" ht="119.1">
      <c r="A576" t="s">
        <v>609</v>
      </c>
      <c r="B576">
        <v>0</v>
      </c>
      <c r="I576" s="29" t="s">
        <v>610</v>
      </c>
      <c r="J576" s="29" t="s">
        <v>71</v>
      </c>
      <c r="K576" t="s">
        <v>8</v>
      </c>
      <c r="M576" t="s">
        <v>61</v>
      </c>
      <c r="N576" t="s">
        <v>518</v>
      </c>
    </row>
    <row r="577" spans="1:14" ht="119.1">
      <c r="A577" t="s">
        <v>609</v>
      </c>
      <c r="B577">
        <v>0</v>
      </c>
      <c r="I577" s="29" t="s">
        <v>610</v>
      </c>
      <c r="J577" s="29" t="s">
        <v>71</v>
      </c>
      <c r="K577" t="s">
        <v>8</v>
      </c>
      <c r="M577" t="s">
        <v>64</v>
      </c>
      <c r="N577" t="s">
        <v>514</v>
      </c>
    </row>
    <row r="578" spans="1:14" ht="119.1">
      <c r="A578" t="s">
        <v>609</v>
      </c>
      <c r="B578">
        <v>7.6923076923076925</v>
      </c>
      <c r="I578" s="29" t="s">
        <v>610</v>
      </c>
      <c r="J578" s="29" t="s">
        <v>71</v>
      </c>
      <c r="K578" t="s">
        <v>8</v>
      </c>
      <c r="M578" t="s">
        <v>64</v>
      </c>
      <c r="N578" t="s">
        <v>516</v>
      </c>
    </row>
    <row r="579" spans="1:14" ht="119.1">
      <c r="A579" t="s">
        <v>609</v>
      </c>
      <c r="B579">
        <v>0</v>
      </c>
      <c r="I579" s="29" t="s">
        <v>610</v>
      </c>
      <c r="J579" s="29" t="s">
        <v>71</v>
      </c>
      <c r="K579" t="s">
        <v>8</v>
      </c>
      <c r="M579" t="s">
        <v>64</v>
      </c>
      <c r="N579" t="s">
        <v>518</v>
      </c>
    </row>
    <row r="580" spans="1:14" ht="119.1">
      <c r="A580" t="s">
        <v>609</v>
      </c>
      <c r="I580" s="29" t="s">
        <v>610</v>
      </c>
      <c r="J580" s="29" t="s">
        <v>71</v>
      </c>
      <c r="K580" t="s">
        <v>8</v>
      </c>
      <c r="M580" t="s">
        <v>65</v>
      </c>
      <c r="N580" t="s">
        <v>514</v>
      </c>
    </row>
    <row r="581" spans="1:14" ht="119.1">
      <c r="A581" t="s">
        <v>609</v>
      </c>
      <c r="I581" s="29" t="s">
        <v>610</v>
      </c>
      <c r="J581" s="29" t="s">
        <v>71</v>
      </c>
      <c r="K581" t="s">
        <v>8</v>
      </c>
      <c r="M581" t="s">
        <v>65</v>
      </c>
      <c r="N581" t="s">
        <v>516</v>
      </c>
    </row>
    <row r="582" spans="1:14" ht="119.1">
      <c r="A582" t="s">
        <v>609</v>
      </c>
      <c r="I582" s="29" t="s">
        <v>610</v>
      </c>
      <c r="J582" s="29" t="s">
        <v>71</v>
      </c>
      <c r="K582" t="s">
        <v>8</v>
      </c>
      <c r="M582" t="s">
        <v>65</v>
      </c>
      <c r="N582" t="s">
        <v>518</v>
      </c>
    </row>
    <row r="583" spans="1:14">
      <c r="A583" t="s">
        <v>611</v>
      </c>
      <c r="B583">
        <v>1.0832999999999999</v>
      </c>
      <c r="G583" t="s">
        <v>612</v>
      </c>
      <c r="H583" t="s">
        <v>613</v>
      </c>
      <c r="K583" t="s">
        <v>614</v>
      </c>
    </row>
    <row r="584" spans="1:14">
      <c r="A584" t="s">
        <v>615</v>
      </c>
      <c r="B584">
        <v>0.54</v>
      </c>
      <c r="G584" t="s">
        <v>107</v>
      </c>
      <c r="H584" t="s">
        <v>616</v>
      </c>
      <c r="K584" t="s">
        <v>614</v>
      </c>
    </row>
    <row r="585" spans="1:14">
      <c r="A585" t="s">
        <v>617</v>
      </c>
      <c r="B585">
        <v>0.9</v>
      </c>
      <c r="G585" t="s">
        <v>612</v>
      </c>
      <c r="H585" t="s">
        <v>618</v>
      </c>
      <c r="K585" t="s">
        <v>614</v>
      </c>
    </row>
    <row r="586" spans="1:14">
      <c r="A586" t="s">
        <v>619</v>
      </c>
      <c r="B586">
        <v>0.19850000000000001</v>
      </c>
      <c r="G586" t="s">
        <v>107</v>
      </c>
      <c r="H586" t="s">
        <v>620</v>
      </c>
      <c r="K586" t="s">
        <v>614</v>
      </c>
    </row>
    <row r="587" spans="1:14" ht="119.1">
      <c r="A587" t="s">
        <v>621</v>
      </c>
      <c r="B587">
        <v>0.7</v>
      </c>
      <c r="G587" t="s">
        <v>209</v>
      </c>
      <c r="H587" t="s">
        <v>622</v>
      </c>
      <c r="J587" s="29" t="s">
        <v>623</v>
      </c>
      <c r="K587" t="s">
        <v>614</v>
      </c>
    </row>
    <row r="588" spans="1:14" ht="119.1">
      <c r="A588" t="s">
        <v>624</v>
      </c>
      <c r="B588">
        <v>0.75</v>
      </c>
      <c r="G588" t="s">
        <v>209</v>
      </c>
      <c r="H588" t="s">
        <v>625</v>
      </c>
      <c r="J588" s="29" t="s">
        <v>626</v>
      </c>
      <c r="K588" t="s">
        <v>614</v>
      </c>
    </row>
    <row r="589" spans="1:14" ht="68.099999999999994">
      <c r="A589" t="s">
        <v>627</v>
      </c>
      <c r="B589">
        <v>0.95</v>
      </c>
      <c r="G589" t="s">
        <v>209</v>
      </c>
      <c r="H589" t="s">
        <v>628</v>
      </c>
      <c r="J589" s="29" t="s">
        <v>629</v>
      </c>
      <c r="K589" t="s">
        <v>614</v>
      </c>
    </row>
    <row r="590" spans="1:14" ht="17.100000000000001">
      <c r="A590" t="s">
        <v>630</v>
      </c>
      <c r="B590">
        <v>0.55000000000000004</v>
      </c>
      <c r="G590" t="s">
        <v>631</v>
      </c>
      <c r="H590" t="s">
        <v>632</v>
      </c>
      <c r="J590" s="29" t="s">
        <v>633</v>
      </c>
      <c r="K590" t="s">
        <v>614</v>
      </c>
    </row>
    <row r="591" spans="1:14" ht="68.099999999999994">
      <c r="A591" t="s">
        <v>634</v>
      </c>
      <c r="B591">
        <v>0.27</v>
      </c>
      <c r="G591" t="s">
        <v>635</v>
      </c>
      <c r="H591" t="s">
        <v>636</v>
      </c>
      <c r="J591" s="29" t="s">
        <v>637</v>
      </c>
      <c r="K591" t="s">
        <v>614</v>
      </c>
    </row>
    <row r="592" spans="1:14" ht="51">
      <c r="A592" t="s">
        <v>638</v>
      </c>
      <c r="B592">
        <v>0.23899999999999999</v>
      </c>
      <c r="G592" t="s">
        <v>635</v>
      </c>
      <c r="H592" t="s">
        <v>639</v>
      </c>
      <c r="J592" s="29" t="s">
        <v>640</v>
      </c>
      <c r="K592" t="s">
        <v>614</v>
      </c>
    </row>
    <row r="593" spans="1:15" ht="51">
      <c r="A593" t="s">
        <v>641</v>
      </c>
      <c r="B593">
        <v>0.11</v>
      </c>
      <c r="G593" t="s">
        <v>635</v>
      </c>
      <c r="H593" t="s">
        <v>642</v>
      </c>
      <c r="J593" s="29" t="s">
        <v>643</v>
      </c>
      <c r="K593" t="s">
        <v>614</v>
      </c>
    </row>
    <row r="594" spans="1:15" ht="33.950000000000003">
      <c r="A594" t="s">
        <v>644</v>
      </c>
      <c r="B594">
        <v>0.21199999999999999</v>
      </c>
      <c r="G594" t="s">
        <v>635</v>
      </c>
      <c r="H594" t="s">
        <v>645</v>
      </c>
      <c r="J594" s="29" t="s">
        <v>646</v>
      </c>
      <c r="K594" t="s">
        <v>614</v>
      </c>
    </row>
    <row r="595" spans="1:15" ht="51">
      <c r="A595" t="s">
        <v>647</v>
      </c>
      <c r="B595">
        <v>0.32500000000000001</v>
      </c>
      <c r="G595" t="s">
        <v>635</v>
      </c>
      <c r="H595" t="s">
        <v>648</v>
      </c>
      <c r="J595" s="29" t="s">
        <v>649</v>
      </c>
      <c r="K595" t="s">
        <v>614</v>
      </c>
    </row>
    <row r="596" spans="1:15" ht="170.1">
      <c r="A596" t="s">
        <v>650</v>
      </c>
      <c r="B596">
        <v>4.4800000000000004</v>
      </c>
      <c r="G596" t="s">
        <v>651</v>
      </c>
      <c r="H596" t="s">
        <v>652</v>
      </c>
      <c r="J596" s="29" t="s">
        <v>653</v>
      </c>
      <c r="K596" t="s">
        <v>614</v>
      </c>
    </row>
    <row r="597" spans="1:15" ht="33.950000000000003">
      <c r="A597" t="s">
        <v>654</v>
      </c>
      <c r="B597">
        <v>16.600000000000001</v>
      </c>
      <c r="G597" t="s">
        <v>655</v>
      </c>
      <c r="H597" t="s">
        <v>656</v>
      </c>
      <c r="J597" s="29" t="s">
        <v>657</v>
      </c>
      <c r="K597" t="s">
        <v>614</v>
      </c>
    </row>
    <row r="598" spans="1:15" ht="33.950000000000003">
      <c r="A598" t="s">
        <v>658</v>
      </c>
      <c r="B598">
        <v>44.7</v>
      </c>
      <c r="G598" t="s">
        <v>655</v>
      </c>
      <c r="H598" t="s">
        <v>659</v>
      </c>
      <c r="J598" s="29" t="s">
        <v>657</v>
      </c>
      <c r="K598" t="s">
        <v>614</v>
      </c>
    </row>
    <row r="599" spans="1:15" ht="17.100000000000001">
      <c r="A599" t="s">
        <v>660</v>
      </c>
      <c r="B599">
        <v>69.2</v>
      </c>
      <c r="G599" t="s">
        <v>661</v>
      </c>
      <c r="H599" t="s">
        <v>662</v>
      </c>
      <c r="J599" s="29" t="s">
        <v>663</v>
      </c>
      <c r="K599" t="s">
        <v>614</v>
      </c>
      <c r="O599" t="s">
        <v>664</v>
      </c>
    </row>
    <row r="600" spans="1:15" ht="17.100000000000001">
      <c r="A600" t="s">
        <v>665</v>
      </c>
      <c r="B600">
        <v>66.8</v>
      </c>
      <c r="G600" t="s">
        <v>661</v>
      </c>
      <c r="H600" t="s">
        <v>666</v>
      </c>
      <c r="J600" s="29" t="s">
        <v>663</v>
      </c>
      <c r="K600" t="s">
        <v>614</v>
      </c>
      <c r="O600" t="s">
        <v>664</v>
      </c>
    </row>
    <row r="601" spans="1:15" ht="33.950000000000003">
      <c r="A601" t="s">
        <v>667</v>
      </c>
      <c r="B601">
        <v>28.6</v>
      </c>
      <c r="G601" t="s">
        <v>661</v>
      </c>
      <c r="H601" t="s">
        <v>668</v>
      </c>
      <c r="J601" s="29" t="s">
        <v>669</v>
      </c>
      <c r="K601" t="s">
        <v>614</v>
      </c>
      <c r="O601" t="s">
        <v>664</v>
      </c>
    </row>
    <row r="602" spans="1:15" ht="51">
      <c r="A602" t="s">
        <v>670</v>
      </c>
      <c r="B602">
        <v>174.09</v>
      </c>
      <c r="G602" t="s">
        <v>671</v>
      </c>
      <c r="H602" t="s">
        <v>672</v>
      </c>
      <c r="J602" s="29" t="s">
        <v>673</v>
      </c>
      <c r="K602" t="s">
        <v>614</v>
      </c>
      <c r="O602" t="s">
        <v>674</v>
      </c>
    </row>
    <row r="603" spans="1:15" ht="33.950000000000003">
      <c r="A603" t="s">
        <v>675</v>
      </c>
      <c r="B603">
        <v>167</v>
      </c>
      <c r="G603" t="s">
        <v>671</v>
      </c>
      <c r="H603" t="s">
        <v>676</v>
      </c>
      <c r="J603" s="29" t="s">
        <v>677</v>
      </c>
      <c r="K603" t="s">
        <v>614</v>
      </c>
    </row>
    <row r="604" spans="1:15" ht="33.950000000000003">
      <c r="A604" t="s">
        <v>678</v>
      </c>
      <c r="B604">
        <v>6</v>
      </c>
      <c r="G604" t="s">
        <v>671</v>
      </c>
      <c r="H604" t="s">
        <v>679</v>
      </c>
      <c r="J604" s="29" t="s">
        <v>677</v>
      </c>
      <c r="K604" t="s">
        <v>614</v>
      </c>
    </row>
    <row r="605" spans="1:15" ht="33.950000000000003">
      <c r="A605" t="s">
        <v>680</v>
      </c>
      <c r="B605">
        <v>3.5999999999999997E-2</v>
      </c>
      <c r="G605" t="s">
        <v>671</v>
      </c>
      <c r="H605" t="s">
        <v>681</v>
      </c>
      <c r="J605" s="29" t="s">
        <v>677</v>
      </c>
      <c r="K605" t="s">
        <v>614</v>
      </c>
    </row>
    <row r="606" spans="1:15" ht="51">
      <c r="A606" t="s">
        <v>682</v>
      </c>
      <c r="B606">
        <v>0.1852</v>
      </c>
      <c r="G606" t="s">
        <v>671</v>
      </c>
      <c r="H606" t="s">
        <v>683</v>
      </c>
      <c r="J606" s="29" t="s">
        <v>406</v>
      </c>
      <c r="K606" t="s">
        <v>614</v>
      </c>
    </row>
    <row r="607" spans="1:15" ht="51">
      <c r="A607" t="s">
        <v>684</v>
      </c>
      <c r="B607">
        <v>4.3499999999999997E-2</v>
      </c>
      <c r="G607" t="s">
        <v>671</v>
      </c>
      <c r="H607" t="s">
        <v>685</v>
      </c>
      <c r="J607" s="29" t="s">
        <v>406</v>
      </c>
      <c r="K607" t="s">
        <v>614</v>
      </c>
    </row>
    <row r="608" spans="1:15" ht="119.1">
      <c r="A608" t="s">
        <v>686</v>
      </c>
      <c r="B608">
        <v>10</v>
      </c>
      <c r="G608" t="s">
        <v>671</v>
      </c>
      <c r="H608" t="s">
        <v>687</v>
      </c>
      <c r="J608" s="29" t="s">
        <v>688</v>
      </c>
      <c r="K608" t="s">
        <v>614</v>
      </c>
    </row>
    <row r="609" spans="1:15" ht="135.94999999999999">
      <c r="A609" t="s">
        <v>689</v>
      </c>
      <c r="B609">
        <v>6</v>
      </c>
      <c r="G609" t="s">
        <v>671</v>
      </c>
      <c r="H609" t="s">
        <v>690</v>
      </c>
      <c r="J609" s="29" t="s">
        <v>691</v>
      </c>
      <c r="K609" t="s">
        <v>614</v>
      </c>
    </row>
    <row r="610" spans="1:15" ht="51">
      <c r="A610" t="s">
        <v>692</v>
      </c>
      <c r="B610">
        <v>10</v>
      </c>
      <c r="G610" t="s">
        <v>209</v>
      </c>
      <c r="H610" t="s">
        <v>693</v>
      </c>
      <c r="J610" s="29" t="s">
        <v>694</v>
      </c>
      <c r="K610" t="s">
        <v>614</v>
      </c>
      <c r="O610" t="s">
        <v>695</v>
      </c>
    </row>
    <row r="611" spans="1:15" ht="33.950000000000003">
      <c r="A611" t="s">
        <v>696</v>
      </c>
      <c r="B611">
        <v>30</v>
      </c>
      <c r="G611" t="s">
        <v>209</v>
      </c>
      <c r="H611" t="s">
        <v>697</v>
      </c>
      <c r="J611" s="29" t="s">
        <v>698</v>
      </c>
      <c r="K611" t="s">
        <v>614</v>
      </c>
      <c r="O611" t="s">
        <v>695</v>
      </c>
    </row>
    <row r="612" spans="1:15" ht="33.950000000000003">
      <c r="A612" t="s">
        <v>699</v>
      </c>
      <c r="B612">
        <v>15</v>
      </c>
      <c r="G612" t="s">
        <v>209</v>
      </c>
      <c r="H612" t="s">
        <v>700</v>
      </c>
      <c r="J612" s="29" t="s">
        <v>698</v>
      </c>
      <c r="K612" t="s">
        <v>614</v>
      </c>
      <c r="O612" t="s">
        <v>695</v>
      </c>
    </row>
    <row r="613" spans="1:15" ht="17.100000000000001">
      <c r="A613" t="s">
        <v>701</v>
      </c>
      <c r="B613">
        <v>1200</v>
      </c>
      <c r="G613" t="s">
        <v>209</v>
      </c>
      <c r="H613" t="s">
        <v>702</v>
      </c>
      <c r="I613" s="29" t="s">
        <v>703</v>
      </c>
      <c r="K613" t="s">
        <v>614</v>
      </c>
      <c r="O613" t="s">
        <v>695</v>
      </c>
    </row>
    <row r="614" spans="1:15">
      <c r="A614" t="s">
        <v>704</v>
      </c>
      <c r="B614">
        <v>129.5</v>
      </c>
      <c r="G614" t="s">
        <v>705</v>
      </c>
      <c r="H614" t="s">
        <v>706</v>
      </c>
      <c r="K614" t="s">
        <v>614</v>
      </c>
    </row>
    <row r="615" spans="1:15" ht="135.94999999999999">
      <c r="A615" t="s">
        <v>707</v>
      </c>
      <c r="B615">
        <v>57</v>
      </c>
      <c r="G615" t="s">
        <v>708</v>
      </c>
      <c r="H615" t="s">
        <v>709</v>
      </c>
      <c r="J615" s="29" t="s">
        <v>710</v>
      </c>
      <c r="K615" t="s">
        <v>614</v>
      </c>
      <c r="O615" t="s">
        <v>711</v>
      </c>
    </row>
    <row r="616" spans="1:15">
      <c r="A616" t="s">
        <v>712</v>
      </c>
      <c r="B616">
        <v>1605.29</v>
      </c>
      <c r="G616" t="s">
        <v>713</v>
      </c>
      <c r="H616" t="s">
        <v>714</v>
      </c>
      <c r="K616" t="s">
        <v>715</v>
      </c>
      <c r="O616" t="s">
        <v>716</v>
      </c>
    </row>
    <row r="617" spans="1:15">
      <c r="A617" t="s">
        <v>717</v>
      </c>
      <c r="B617">
        <v>2843.5</v>
      </c>
      <c r="G617" t="s">
        <v>713</v>
      </c>
      <c r="H617" t="s">
        <v>718</v>
      </c>
      <c r="K617" t="s">
        <v>715</v>
      </c>
      <c r="O617" t="s">
        <v>719</v>
      </c>
    </row>
    <row r="618" spans="1:15">
      <c r="A618" t="s">
        <v>720</v>
      </c>
      <c r="B618">
        <v>1680.25</v>
      </c>
      <c r="G618" t="s">
        <v>713</v>
      </c>
      <c r="H618" t="s">
        <v>721</v>
      </c>
      <c r="K618" t="s">
        <v>715</v>
      </c>
      <c r="O618" t="s">
        <v>719</v>
      </c>
    </row>
    <row r="619" spans="1:15">
      <c r="A619" t="s">
        <v>722</v>
      </c>
      <c r="B619">
        <v>125.37</v>
      </c>
      <c r="G619" t="s">
        <v>713</v>
      </c>
      <c r="H619" t="s">
        <v>723</v>
      </c>
      <c r="K619" t="s">
        <v>715</v>
      </c>
      <c r="O619" t="s">
        <v>719</v>
      </c>
    </row>
    <row r="620" spans="1:15">
      <c r="A620" t="s">
        <v>724</v>
      </c>
      <c r="B620">
        <v>647500</v>
      </c>
      <c r="G620" t="s">
        <v>725</v>
      </c>
      <c r="H620" t="s">
        <v>726</v>
      </c>
      <c r="K620" t="s">
        <v>715</v>
      </c>
      <c r="O620" t="s">
        <v>727</v>
      </c>
    </row>
    <row r="621" spans="1:15">
      <c r="A621" t="s">
        <v>728</v>
      </c>
      <c r="B621">
        <v>4000</v>
      </c>
      <c r="G621" t="s">
        <v>725</v>
      </c>
      <c r="H621" t="s">
        <v>729</v>
      </c>
      <c r="K621" t="s">
        <v>715</v>
      </c>
      <c r="O621" t="s">
        <v>727</v>
      </c>
    </row>
    <row r="622" spans="1:15">
      <c r="A622" t="s">
        <v>730</v>
      </c>
      <c r="B622">
        <v>657900</v>
      </c>
      <c r="G622" t="s">
        <v>725</v>
      </c>
      <c r="H622" t="s">
        <v>731</v>
      </c>
      <c r="K622" t="s">
        <v>715</v>
      </c>
      <c r="O622" t="s">
        <v>727</v>
      </c>
    </row>
    <row r="623" spans="1:15">
      <c r="A623" t="s">
        <v>732</v>
      </c>
      <c r="B623">
        <v>40207381</v>
      </c>
      <c r="G623" t="s">
        <v>733</v>
      </c>
      <c r="H623" t="s">
        <v>734</v>
      </c>
      <c r="K623" t="s">
        <v>715</v>
      </c>
      <c r="O623" t="s">
        <v>735</v>
      </c>
    </row>
    <row r="624" spans="1:15">
      <c r="A624" t="s">
        <v>736</v>
      </c>
      <c r="B624">
        <v>5693559</v>
      </c>
      <c r="G624" t="s">
        <v>733</v>
      </c>
      <c r="H624" t="s">
        <v>737</v>
      </c>
      <c r="K624" t="s">
        <v>715</v>
      </c>
      <c r="O624" t="s">
        <v>738</v>
      </c>
    </row>
    <row r="625" spans="1:15">
      <c r="A625" t="s">
        <v>739</v>
      </c>
      <c r="B625">
        <v>4556971</v>
      </c>
      <c r="G625" t="s">
        <v>733</v>
      </c>
      <c r="H625" t="s">
        <v>740</v>
      </c>
      <c r="K625" t="s">
        <v>715</v>
      </c>
      <c r="O625" t="s">
        <v>738</v>
      </c>
    </row>
    <row r="626" spans="1:15">
      <c r="A626" t="s">
        <v>741</v>
      </c>
      <c r="B626">
        <v>5693559</v>
      </c>
      <c r="G626" t="s">
        <v>733</v>
      </c>
      <c r="H626" t="s">
        <v>742</v>
      </c>
      <c r="K626" t="s">
        <v>715</v>
      </c>
      <c r="O626" t="s">
        <v>738</v>
      </c>
    </row>
    <row r="627" spans="1:15">
      <c r="A627" t="s">
        <v>743</v>
      </c>
      <c r="B627">
        <v>6833850</v>
      </c>
      <c r="G627" t="s">
        <v>733</v>
      </c>
      <c r="H627" t="s">
        <v>744</v>
      </c>
      <c r="K627" t="s">
        <v>715</v>
      </c>
      <c r="O627" t="s">
        <v>738</v>
      </c>
    </row>
    <row r="628" spans="1:15">
      <c r="A628" t="s">
        <v>745</v>
      </c>
      <c r="B628">
        <v>2257329</v>
      </c>
      <c r="G628" t="s">
        <v>733</v>
      </c>
      <c r="H628" t="s">
        <v>746</v>
      </c>
      <c r="K628" t="s">
        <v>715</v>
      </c>
      <c r="O628" t="s">
        <v>747</v>
      </c>
    </row>
    <row r="629" spans="1:15">
      <c r="A629" t="s">
        <v>748</v>
      </c>
      <c r="B629">
        <v>11359478</v>
      </c>
      <c r="G629" t="s">
        <v>733</v>
      </c>
      <c r="H629" t="s">
        <v>749</v>
      </c>
      <c r="K629" t="s">
        <v>715</v>
      </c>
      <c r="O629" t="s">
        <v>735</v>
      </c>
    </row>
    <row r="630" spans="1:15">
      <c r="A630" t="s">
        <v>750</v>
      </c>
      <c r="B630">
        <v>19000</v>
      </c>
      <c r="G630" t="s">
        <v>708</v>
      </c>
      <c r="H630" t="s">
        <v>751</v>
      </c>
      <c r="K630" t="s">
        <v>715</v>
      </c>
      <c r="O630" t="s">
        <v>752</v>
      </c>
    </row>
    <row r="631" spans="1:15">
      <c r="A631" t="s">
        <v>753</v>
      </c>
      <c r="B631">
        <v>250</v>
      </c>
      <c r="G631" t="s">
        <v>708</v>
      </c>
      <c r="H631" t="s">
        <v>754</v>
      </c>
      <c r="K631" t="s">
        <v>715</v>
      </c>
      <c r="O631" t="s">
        <v>755</v>
      </c>
    </row>
    <row r="632" spans="1:15">
      <c r="A632" t="s">
        <v>756</v>
      </c>
      <c r="B632">
        <v>5500</v>
      </c>
      <c r="G632" t="s">
        <v>708</v>
      </c>
      <c r="H632" t="s">
        <v>757</v>
      </c>
      <c r="K632" t="s">
        <v>715</v>
      </c>
      <c r="O632" t="s">
        <v>758</v>
      </c>
    </row>
    <row r="633" spans="1:15">
      <c r="A633" t="s">
        <v>759</v>
      </c>
      <c r="B633">
        <v>130500</v>
      </c>
      <c r="G633" t="s">
        <v>708</v>
      </c>
      <c r="H633" t="s">
        <v>760</v>
      </c>
      <c r="K633" t="s">
        <v>715</v>
      </c>
      <c r="O633" t="s">
        <v>752</v>
      </c>
    </row>
    <row r="634" spans="1:15">
      <c r="A634" t="s">
        <v>761</v>
      </c>
      <c r="B634">
        <v>2250</v>
      </c>
      <c r="G634" t="s">
        <v>708</v>
      </c>
      <c r="H634" t="s">
        <v>762</v>
      </c>
      <c r="K634" t="s">
        <v>715</v>
      </c>
      <c r="O634" t="s">
        <v>755</v>
      </c>
    </row>
    <row r="635" spans="1:15">
      <c r="A635" t="s">
        <v>763</v>
      </c>
      <c r="B635">
        <v>8500</v>
      </c>
      <c r="G635" t="s">
        <v>708</v>
      </c>
      <c r="H635" t="s">
        <v>764</v>
      </c>
      <c r="K635" t="s">
        <v>715</v>
      </c>
      <c r="O635" t="s">
        <v>758</v>
      </c>
    </row>
    <row r="636" spans="1:15">
      <c r="A636" t="s">
        <v>765</v>
      </c>
      <c r="B636">
        <v>312</v>
      </c>
      <c r="G636" t="s">
        <v>766</v>
      </c>
      <c r="H636" t="s">
        <v>767</v>
      </c>
      <c r="K636" t="s">
        <v>715</v>
      </c>
      <c r="O636" t="s">
        <v>719</v>
      </c>
    </row>
    <row r="637" spans="1:15">
      <c r="A637" t="s">
        <v>768</v>
      </c>
      <c r="B637">
        <v>6148</v>
      </c>
      <c r="G637" t="s">
        <v>766</v>
      </c>
      <c r="H637" t="s">
        <v>769</v>
      </c>
      <c r="K637" t="s">
        <v>715</v>
      </c>
      <c r="O637" t="s">
        <v>719</v>
      </c>
    </row>
    <row r="638" spans="1:15">
      <c r="A638" t="s">
        <v>770</v>
      </c>
      <c r="B638">
        <v>29804</v>
      </c>
      <c r="G638" t="s">
        <v>766</v>
      </c>
      <c r="H638" t="s">
        <v>771</v>
      </c>
      <c r="K638" t="s">
        <v>715</v>
      </c>
      <c r="O638" t="s">
        <v>719</v>
      </c>
    </row>
    <row r="639" spans="1:15">
      <c r="A639" t="s">
        <v>772</v>
      </c>
      <c r="B639">
        <v>9958</v>
      </c>
      <c r="G639" t="s">
        <v>773</v>
      </c>
      <c r="H639" t="s">
        <v>774</v>
      </c>
      <c r="K639" t="s">
        <v>715</v>
      </c>
      <c r="O639" t="s">
        <v>755</v>
      </c>
    </row>
    <row r="640" spans="1:15">
      <c r="A640" t="s">
        <v>775</v>
      </c>
      <c r="B640">
        <v>4380</v>
      </c>
      <c r="G640" t="s">
        <v>773</v>
      </c>
      <c r="H640" t="s">
        <v>776</v>
      </c>
      <c r="K640" t="s">
        <v>715</v>
      </c>
      <c r="O640" t="s">
        <v>755</v>
      </c>
    </row>
    <row r="641" spans="1:15">
      <c r="A641" t="s">
        <v>777</v>
      </c>
      <c r="B641">
        <v>5098</v>
      </c>
      <c r="G641" t="s">
        <v>773</v>
      </c>
      <c r="H641" t="s">
        <v>778</v>
      </c>
      <c r="K641" t="s">
        <v>715</v>
      </c>
      <c r="O641" t="s">
        <v>755</v>
      </c>
    </row>
    <row r="642" spans="1:15" ht="17.100000000000001">
      <c r="A642" t="s">
        <v>779</v>
      </c>
      <c r="B642">
        <v>5.1999999999999998E-2</v>
      </c>
      <c r="C642">
        <v>3.3799999999999997E-2</v>
      </c>
      <c r="D642">
        <v>7.5700000000000003E-2</v>
      </c>
      <c r="H642" t="s">
        <v>780</v>
      </c>
      <c r="J642" s="29" t="s">
        <v>781</v>
      </c>
      <c r="K642" t="s">
        <v>10</v>
      </c>
    </row>
    <row r="643" spans="1:15" ht="17.100000000000001">
      <c r="A643" t="s">
        <v>782</v>
      </c>
      <c r="B643">
        <v>0.114</v>
      </c>
      <c r="C643">
        <v>7.7899999999999997E-2</v>
      </c>
      <c r="D643">
        <v>0.15870000000000001</v>
      </c>
      <c r="H643" t="s">
        <v>783</v>
      </c>
      <c r="J643" s="29" t="s">
        <v>781</v>
      </c>
      <c r="K643" t="s">
        <v>10</v>
      </c>
    </row>
    <row r="644" spans="1:15" ht="17.100000000000001">
      <c r="A644" t="s">
        <v>784</v>
      </c>
      <c r="B644">
        <v>0.32400000000000001</v>
      </c>
      <c r="C644">
        <v>0.21970000000000001</v>
      </c>
      <c r="D644">
        <v>0.44180000000000003</v>
      </c>
      <c r="H644" t="s">
        <v>785</v>
      </c>
      <c r="J644" s="29" t="s">
        <v>781</v>
      </c>
      <c r="K644" t="s">
        <v>10</v>
      </c>
    </row>
    <row r="645" spans="1:15" ht="17.100000000000001">
      <c r="A645" t="s">
        <v>786</v>
      </c>
      <c r="B645">
        <v>0.13300000000000001</v>
      </c>
      <c r="C645">
        <v>8.8400000000000006E-2</v>
      </c>
      <c r="D645">
        <v>0.1895</v>
      </c>
      <c r="H645" t="s">
        <v>787</v>
      </c>
      <c r="J645" s="29" t="s">
        <v>781</v>
      </c>
      <c r="K645" t="s">
        <v>10</v>
      </c>
    </row>
    <row r="646" spans="1:15" ht="17.100000000000001">
      <c r="A646" t="s">
        <v>788</v>
      </c>
      <c r="B646">
        <v>0.60199999999999998</v>
      </c>
      <c r="C646">
        <v>0.42659999999999998</v>
      </c>
      <c r="D646">
        <v>0.75270000000000004</v>
      </c>
      <c r="H646" t="s">
        <v>789</v>
      </c>
      <c r="J646" s="29" t="s">
        <v>781</v>
      </c>
      <c r="K646" t="s">
        <v>10</v>
      </c>
    </row>
    <row r="647" spans="1:15" ht="17.100000000000001">
      <c r="A647" t="s">
        <v>790</v>
      </c>
      <c r="B647">
        <v>0.32400000000000001</v>
      </c>
      <c r="C647">
        <v>0.21970000000000001</v>
      </c>
      <c r="D647">
        <v>0.44180000000000003</v>
      </c>
      <c r="H647" t="s">
        <v>791</v>
      </c>
      <c r="J647" s="29" t="s">
        <v>781</v>
      </c>
      <c r="K647" t="s">
        <v>10</v>
      </c>
    </row>
    <row r="648" spans="1:15">
      <c r="A648" t="s">
        <v>792</v>
      </c>
      <c r="B648">
        <v>1</v>
      </c>
      <c r="H648" t="s">
        <v>793</v>
      </c>
      <c r="K648" t="s">
        <v>10</v>
      </c>
    </row>
    <row r="649" spans="1:15">
      <c r="A649" t="s">
        <v>794</v>
      </c>
      <c r="B649">
        <v>1</v>
      </c>
      <c r="H649" t="s">
        <v>793</v>
      </c>
      <c r="K649" t="s">
        <v>10</v>
      </c>
    </row>
    <row r="650" spans="1:15" ht="17.100000000000001">
      <c r="A650" t="s">
        <v>795</v>
      </c>
      <c r="B650">
        <v>0.38800000000000001</v>
      </c>
      <c r="H650" t="s">
        <v>796</v>
      </c>
      <c r="J650" s="29" t="s">
        <v>781</v>
      </c>
      <c r="K650" t="s">
        <v>10</v>
      </c>
    </row>
    <row r="651" spans="1:15" ht="17.100000000000001">
      <c r="A651" t="s">
        <v>797</v>
      </c>
      <c r="B651">
        <v>0.54900000000000004</v>
      </c>
      <c r="H651" t="s">
        <v>798</v>
      </c>
      <c r="J651" s="29" t="s">
        <v>781</v>
      </c>
      <c r="K651" t="s">
        <v>10</v>
      </c>
    </row>
    <row r="652" spans="1:15" ht="17.100000000000001">
      <c r="A652" t="s">
        <v>799</v>
      </c>
      <c r="B652">
        <v>0.45900000000000002</v>
      </c>
      <c r="H652" t="s">
        <v>800</v>
      </c>
      <c r="J652" s="29" t="s">
        <v>781</v>
      </c>
      <c r="K652" t="s">
        <v>10</v>
      </c>
    </row>
    <row r="653" spans="1:15" ht="170.1">
      <c r="A653" t="s">
        <v>801</v>
      </c>
      <c r="B653">
        <v>0.35</v>
      </c>
      <c r="H653" t="s">
        <v>802</v>
      </c>
      <c r="I653" s="29" t="s">
        <v>803</v>
      </c>
      <c r="J653" s="29" t="s">
        <v>804</v>
      </c>
      <c r="K653" t="s">
        <v>11</v>
      </c>
      <c r="M653" t="s">
        <v>381</v>
      </c>
    </row>
    <row r="654" spans="1:15" ht="51">
      <c r="A654" t="s">
        <v>801</v>
      </c>
      <c r="B654">
        <v>1.7500000000000002E-2</v>
      </c>
      <c r="H654" t="s">
        <v>802</v>
      </c>
      <c r="I654" s="29" t="s">
        <v>805</v>
      </c>
      <c r="K654" t="s">
        <v>11</v>
      </c>
      <c r="M654" t="s">
        <v>61</v>
      </c>
    </row>
    <row r="655" spans="1:15" ht="51">
      <c r="A655" t="s">
        <v>801</v>
      </c>
      <c r="B655">
        <v>2.1700000000000001E-2</v>
      </c>
      <c r="H655" t="s">
        <v>802</v>
      </c>
      <c r="I655" s="29" t="s">
        <v>805</v>
      </c>
      <c r="K655" t="s">
        <v>11</v>
      </c>
      <c r="M655" t="s">
        <v>64</v>
      </c>
    </row>
    <row r="656" spans="1:15" ht="51">
      <c r="A656" t="s">
        <v>801</v>
      </c>
      <c r="B656">
        <v>0.02</v>
      </c>
      <c r="H656" t="s">
        <v>802</v>
      </c>
      <c r="I656" s="29" t="s">
        <v>805</v>
      </c>
      <c r="K656" t="s">
        <v>11</v>
      </c>
      <c r="M656" t="s">
        <v>65</v>
      </c>
    </row>
    <row r="657" spans="1:13" ht="204">
      <c r="A657" t="s">
        <v>806</v>
      </c>
      <c r="B657">
        <v>0.39200000000000002</v>
      </c>
      <c r="H657" t="s">
        <v>807</v>
      </c>
      <c r="I657" s="29" t="s">
        <v>808</v>
      </c>
      <c r="J657" s="29" t="s">
        <v>809</v>
      </c>
      <c r="K657" t="s">
        <v>11</v>
      </c>
      <c r="M657" t="s">
        <v>381</v>
      </c>
    </row>
    <row r="658" spans="1:13" ht="51">
      <c r="A658" t="s">
        <v>806</v>
      </c>
      <c r="B658">
        <v>0.30499999999999999</v>
      </c>
      <c r="H658" t="s">
        <v>810</v>
      </c>
      <c r="I658" s="29" t="s">
        <v>811</v>
      </c>
      <c r="K658" t="s">
        <v>11</v>
      </c>
      <c r="M658" t="s">
        <v>61</v>
      </c>
    </row>
    <row r="659" spans="1:13" ht="51">
      <c r="A659" t="s">
        <v>806</v>
      </c>
      <c r="B659">
        <v>0.32200000000000001</v>
      </c>
      <c r="H659" t="s">
        <v>810</v>
      </c>
      <c r="I659" s="29" t="s">
        <v>811</v>
      </c>
      <c r="K659" t="s">
        <v>11</v>
      </c>
      <c r="M659" t="s">
        <v>64</v>
      </c>
    </row>
    <row r="660" spans="1:13" ht="51">
      <c r="A660" t="s">
        <v>806</v>
      </c>
      <c r="B660">
        <v>0.34199999999999997</v>
      </c>
      <c r="H660" t="s">
        <v>810</v>
      </c>
      <c r="I660" s="29" t="s">
        <v>811</v>
      </c>
      <c r="K660" t="s">
        <v>11</v>
      </c>
      <c r="M660" t="s">
        <v>65</v>
      </c>
    </row>
    <row r="661" spans="1:13" ht="221.1">
      <c r="A661" t="s">
        <v>812</v>
      </c>
      <c r="B661">
        <v>0.25800000000000001</v>
      </c>
      <c r="H661" t="s">
        <v>813</v>
      </c>
      <c r="I661" s="29" t="s">
        <v>814</v>
      </c>
      <c r="K661" t="s">
        <v>11</v>
      </c>
      <c r="M661" t="s">
        <v>381</v>
      </c>
    </row>
    <row r="662" spans="1:13" ht="51">
      <c r="A662" t="s">
        <v>812</v>
      </c>
      <c r="B662">
        <v>0.67700000000000005</v>
      </c>
      <c r="H662" t="s">
        <v>815</v>
      </c>
      <c r="I662" s="29" t="s">
        <v>811</v>
      </c>
      <c r="K662" t="s">
        <v>11</v>
      </c>
      <c r="M662" t="s">
        <v>61</v>
      </c>
    </row>
    <row r="663" spans="1:13" ht="51">
      <c r="A663" t="s">
        <v>812</v>
      </c>
      <c r="B663">
        <v>0.65600000000000003</v>
      </c>
      <c r="H663" t="s">
        <v>815</v>
      </c>
      <c r="I663" s="29" t="s">
        <v>811</v>
      </c>
      <c r="K663" t="s">
        <v>11</v>
      </c>
      <c r="M663" t="s">
        <v>64</v>
      </c>
    </row>
    <row r="664" spans="1:13" ht="51">
      <c r="A664" t="s">
        <v>812</v>
      </c>
      <c r="B664">
        <v>0.63800000000000001</v>
      </c>
      <c r="H664" t="s">
        <v>815</v>
      </c>
      <c r="I664" s="29" t="s">
        <v>811</v>
      </c>
      <c r="K664" t="s">
        <v>11</v>
      </c>
      <c r="M664" t="s">
        <v>65</v>
      </c>
    </row>
    <row r="665" spans="1:13" ht="204">
      <c r="A665" t="s">
        <v>816</v>
      </c>
      <c r="B665" t="s">
        <v>817</v>
      </c>
      <c r="H665" t="s">
        <v>818</v>
      </c>
      <c r="I665" s="29" t="s">
        <v>819</v>
      </c>
      <c r="J665" s="29" t="s">
        <v>809</v>
      </c>
      <c r="K665" t="s">
        <v>11</v>
      </c>
      <c r="M665" t="s">
        <v>381</v>
      </c>
    </row>
    <row r="666" spans="1:13" ht="84.95">
      <c r="A666" t="s">
        <v>816</v>
      </c>
      <c r="B666">
        <v>1.7500000000000002E-2</v>
      </c>
      <c r="H666" t="s">
        <v>818</v>
      </c>
      <c r="I666" s="29" t="s">
        <v>820</v>
      </c>
      <c r="J666" s="29" t="s">
        <v>67</v>
      </c>
      <c r="K666" t="s">
        <v>11</v>
      </c>
      <c r="M666" t="s">
        <v>61</v>
      </c>
    </row>
    <row r="667" spans="1:13" ht="84.95">
      <c r="A667" t="s">
        <v>816</v>
      </c>
      <c r="B667">
        <v>2.1700000000000001E-2</v>
      </c>
      <c r="H667" t="s">
        <v>818</v>
      </c>
      <c r="I667" s="29" t="s">
        <v>820</v>
      </c>
      <c r="J667" s="29" t="s">
        <v>67</v>
      </c>
      <c r="K667" t="s">
        <v>11</v>
      </c>
      <c r="M667" t="s">
        <v>64</v>
      </c>
    </row>
    <row r="668" spans="1:13" ht="84.95">
      <c r="A668" t="s">
        <v>816</v>
      </c>
      <c r="B668">
        <v>0.02</v>
      </c>
      <c r="H668" t="s">
        <v>818</v>
      </c>
      <c r="I668" s="29" t="s">
        <v>820</v>
      </c>
      <c r="J668" s="29" t="s">
        <v>67</v>
      </c>
      <c r="K668" t="s">
        <v>11</v>
      </c>
      <c r="M668" t="s">
        <v>65</v>
      </c>
    </row>
    <row r="669" spans="1:13" ht="204">
      <c r="A669" t="s">
        <v>821</v>
      </c>
      <c r="B669" t="s">
        <v>817</v>
      </c>
      <c r="H669" t="s">
        <v>822</v>
      </c>
      <c r="I669" s="29" t="s">
        <v>819</v>
      </c>
      <c r="J669" s="29" t="s">
        <v>809</v>
      </c>
      <c r="K669" t="s">
        <v>11</v>
      </c>
      <c r="M669" t="s">
        <v>381</v>
      </c>
    </row>
    <row r="670" spans="1:13" ht="17.100000000000001">
      <c r="A670" t="s">
        <v>821</v>
      </c>
      <c r="B670">
        <v>0.183</v>
      </c>
      <c r="H670" t="s">
        <v>823</v>
      </c>
      <c r="I670" s="29" t="s">
        <v>819</v>
      </c>
      <c r="K670" t="s">
        <v>11</v>
      </c>
      <c r="M670" t="s">
        <v>61</v>
      </c>
    </row>
    <row r="671" spans="1:13" ht="17.100000000000001">
      <c r="A671" t="s">
        <v>821</v>
      </c>
      <c r="B671">
        <v>0.2</v>
      </c>
      <c r="H671" t="s">
        <v>823</v>
      </c>
      <c r="I671" s="29" t="s">
        <v>819</v>
      </c>
      <c r="K671" t="s">
        <v>11</v>
      </c>
      <c r="M671" t="s">
        <v>64</v>
      </c>
    </row>
    <row r="672" spans="1:13" ht="17.100000000000001">
      <c r="A672" t="s">
        <v>821</v>
      </c>
      <c r="B672">
        <v>0.22</v>
      </c>
      <c r="H672" t="s">
        <v>823</v>
      </c>
      <c r="I672" s="29" t="s">
        <v>819</v>
      </c>
      <c r="K672" t="s">
        <v>11</v>
      </c>
      <c r="M672" t="s">
        <v>65</v>
      </c>
    </row>
    <row r="673" spans="1:13" ht="204">
      <c r="A673" t="s">
        <v>824</v>
      </c>
      <c r="B673" t="s">
        <v>817</v>
      </c>
      <c r="H673" t="s">
        <v>825</v>
      </c>
      <c r="I673" s="29" t="s">
        <v>819</v>
      </c>
      <c r="J673" s="29" t="s">
        <v>809</v>
      </c>
      <c r="K673" t="s">
        <v>11</v>
      </c>
      <c r="M673" t="s">
        <v>381</v>
      </c>
    </row>
    <row r="674" spans="1:13" ht="17.100000000000001">
      <c r="A674" t="s">
        <v>824</v>
      </c>
      <c r="B674">
        <v>0.79900000000000004</v>
      </c>
      <c r="H674" t="s">
        <v>826</v>
      </c>
      <c r="I674" s="29" t="s">
        <v>819</v>
      </c>
      <c r="K674" t="s">
        <v>11</v>
      </c>
      <c r="M674" t="s">
        <v>61</v>
      </c>
    </row>
    <row r="675" spans="1:13" ht="17.100000000000001">
      <c r="A675" t="s">
        <v>824</v>
      </c>
      <c r="B675">
        <v>0.77800000000000002</v>
      </c>
      <c r="H675" t="s">
        <v>826</v>
      </c>
      <c r="I675" s="29" t="s">
        <v>819</v>
      </c>
      <c r="K675" t="s">
        <v>11</v>
      </c>
      <c r="M675" t="s">
        <v>64</v>
      </c>
    </row>
    <row r="676" spans="1:13" ht="17.100000000000001">
      <c r="A676" t="s">
        <v>824</v>
      </c>
      <c r="B676">
        <v>0.76</v>
      </c>
      <c r="H676" t="s">
        <v>826</v>
      </c>
      <c r="I676" s="29" t="s">
        <v>819</v>
      </c>
      <c r="K676" t="s">
        <v>11</v>
      </c>
      <c r="M676" t="s">
        <v>65</v>
      </c>
    </row>
    <row r="677" spans="1:13" ht="51">
      <c r="A677" t="s">
        <v>827</v>
      </c>
      <c r="B677">
        <v>7.0000000000000007E-2</v>
      </c>
      <c r="H677" t="s">
        <v>828</v>
      </c>
      <c r="J677" s="29" t="s">
        <v>829</v>
      </c>
      <c r="K677" t="s">
        <v>11</v>
      </c>
      <c r="M677" t="s">
        <v>381</v>
      </c>
    </row>
    <row r="678" spans="1:13" ht="68.099999999999994">
      <c r="A678" t="s">
        <v>827</v>
      </c>
      <c r="B678">
        <v>0.22900000000000001</v>
      </c>
      <c r="H678" t="s">
        <v>828</v>
      </c>
      <c r="I678" s="29" t="s">
        <v>830</v>
      </c>
      <c r="K678" t="s">
        <v>11</v>
      </c>
      <c r="M678" t="s">
        <v>61</v>
      </c>
    </row>
    <row r="679" spans="1:13" ht="68.099999999999994">
      <c r="A679" t="s">
        <v>827</v>
      </c>
      <c r="B679">
        <v>0.69099999999999995</v>
      </c>
      <c r="H679" t="s">
        <v>828</v>
      </c>
      <c r="I679" s="29" t="s">
        <v>830</v>
      </c>
      <c r="K679" t="s">
        <v>11</v>
      </c>
      <c r="M679" t="s">
        <v>64</v>
      </c>
    </row>
    <row r="680" spans="1:13" ht="68.099999999999994">
      <c r="A680" t="s">
        <v>827</v>
      </c>
      <c r="B680">
        <v>0.54400000000000004</v>
      </c>
      <c r="H680" t="s">
        <v>828</v>
      </c>
      <c r="I680" s="29" t="s">
        <v>830</v>
      </c>
      <c r="K680" t="s">
        <v>11</v>
      </c>
      <c r="M680" t="s">
        <v>65</v>
      </c>
    </row>
    <row r="681" spans="1:13" ht="186.95">
      <c r="A681" t="s">
        <v>831</v>
      </c>
      <c r="B681">
        <v>0.49</v>
      </c>
      <c r="H681" t="s">
        <v>832</v>
      </c>
      <c r="J681" s="29" t="s">
        <v>833</v>
      </c>
      <c r="K681" t="s">
        <v>11</v>
      </c>
      <c r="M681" t="s">
        <v>381</v>
      </c>
    </row>
    <row r="682" spans="1:13" ht="68.099999999999994">
      <c r="A682" t="s">
        <v>831</v>
      </c>
      <c r="B682">
        <v>0.441</v>
      </c>
      <c r="H682" t="s">
        <v>832</v>
      </c>
      <c r="I682" s="29" t="s">
        <v>830</v>
      </c>
      <c r="J682" s="29" t="s">
        <v>834</v>
      </c>
      <c r="K682" t="s">
        <v>11</v>
      </c>
      <c r="M682" t="s">
        <v>61</v>
      </c>
    </row>
    <row r="683" spans="1:13" ht="68.099999999999994">
      <c r="A683" t="s">
        <v>831</v>
      </c>
      <c r="B683">
        <v>0.71599999999999997</v>
      </c>
      <c r="H683" t="s">
        <v>832</v>
      </c>
      <c r="I683" s="29" t="s">
        <v>830</v>
      </c>
      <c r="J683" s="29" t="s">
        <v>834</v>
      </c>
      <c r="K683" t="s">
        <v>11</v>
      </c>
      <c r="M683" t="s">
        <v>64</v>
      </c>
    </row>
    <row r="684" spans="1:13" ht="68.099999999999994">
      <c r="A684" t="s">
        <v>831</v>
      </c>
      <c r="B684">
        <v>0.79</v>
      </c>
      <c r="H684" t="s">
        <v>832</v>
      </c>
      <c r="I684" s="29" t="s">
        <v>830</v>
      </c>
      <c r="J684" s="29" t="s">
        <v>834</v>
      </c>
      <c r="K684" t="s">
        <v>11</v>
      </c>
      <c r="M684" t="s">
        <v>65</v>
      </c>
    </row>
    <row r="685" spans="1:13" ht="186.95">
      <c r="A685" t="s">
        <v>835</v>
      </c>
      <c r="B685">
        <v>0.439</v>
      </c>
      <c r="H685" t="s">
        <v>836</v>
      </c>
      <c r="J685" s="29" t="s">
        <v>833</v>
      </c>
      <c r="K685" t="s">
        <v>11</v>
      </c>
      <c r="M685" t="s">
        <v>381</v>
      </c>
    </row>
    <row r="686" spans="1:13" ht="68.099999999999994">
      <c r="A686" t="s">
        <v>835</v>
      </c>
      <c r="B686">
        <v>0.70599999999999996</v>
      </c>
      <c r="H686" t="s">
        <v>836</v>
      </c>
      <c r="I686" s="29" t="s">
        <v>830</v>
      </c>
      <c r="J686" s="29" t="s">
        <v>834</v>
      </c>
      <c r="K686" t="s">
        <v>11</v>
      </c>
      <c r="M686" t="s">
        <v>61</v>
      </c>
    </row>
    <row r="687" spans="1:13" ht="68.099999999999994">
      <c r="A687" t="s">
        <v>835</v>
      </c>
      <c r="B687">
        <v>0.80700000000000005</v>
      </c>
      <c r="H687" t="s">
        <v>836</v>
      </c>
      <c r="I687" s="29" t="s">
        <v>830</v>
      </c>
      <c r="J687" s="29" t="s">
        <v>834</v>
      </c>
      <c r="K687" t="s">
        <v>11</v>
      </c>
      <c r="M687" t="s">
        <v>64</v>
      </c>
    </row>
    <row r="688" spans="1:13" ht="68.099999999999994">
      <c r="A688" t="s">
        <v>835</v>
      </c>
      <c r="B688">
        <v>0.68100000000000005</v>
      </c>
      <c r="H688" t="s">
        <v>836</v>
      </c>
      <c r="I688" s="29" t="s">
        <v>830</v>
      </c>
      <c r="J688" s="29" t="s">
        <v>834</v>
      </c>
      <c r="K688" t="s">
        <v>11</v>
      </c>
      <c r="M688" t="s">
        <v>65</v>
      </c>
    </row>
    <row r="689" spans="1:13" ht="68.099999999999994">
      <c r="A689" t="s">
        <v>837</v>
      </c>
      <c r="B689">
        <v>0.13400000000000001</v>
      </c>
      <c r="H689" t="s">
        <v>838</v>
      </c>
      <c r="J689" s="29" t="s">
        <v>109</v>
      </c>
      <c r="K689" t="s">
        <v>11</v>
      </c>
      <c r="M689" t="s">
        <v>381</v>
      </c>
    </row>
    <row r="690" spans="1:13" ht="68.099999999999994">
      <c r="A690" t="s">
        <v>837</v>
      </c>
      <c r="B690">
        <v>0.13400000000000001</v>
      </c>
      <c r="H690" t="s">
        <v>838</v>
      </c>
      <c r="J690" s="29" t="s">
        <v>109</v>
      </c>
      <c r="K690" t="s">
        <v>11</v>
      </c>
      <c r="M690" t="s">
        <v>61</v>
      </c>
    </row>
    <row r="691" spans="1:13" ht="68.099999999999994">
      <c r="A691" t="s">
        <v>837</v>
      </c>
      <c r="B691">
        <v>0.13400000000000001</v>
      </c>
      <c r="H691" t="s">
        <v>838</v>
      </c>
      <c r="J691" s="29" t="s">
        <v>109</v>
      </c>
      <c r="K691" t="s">
        <v>11</v>
      </c>
      <c r="M691" t="s">
        <v>64</v>
      </c>
    </row>
    <row r="692" spans="1:13" ht="339.95">
      <c r="A692" t="s">
        <v>837</v>
      </c>
      <c r="B692">
        <v>0.13400000000000001</v>
      </c>
      <c r="H692" t="s">
        <v>838</v>
      </c>
      <c r="I692" s="29" t="s">
        <v>839</v>
      </c>
      <c r="J692" s="29" t="s">
        <v>109</v>
      </c>
      <c r="K692" t="s">
        <v>11</v>
      </c>
      <c r="M692" t="s">
        <v>65</v>
      </c>
    </row>
    <row r="693" spans="1:13" ht="119.1">
      <c r="A693" t="s">
        <v>840</v>
      </c>
      <c r="B693">
        <v>0.06</v>
      </c>
      <c r="H693" t="s">
        <v>841</v>
      </c>
      <c r="J693" s="29" t="s">
        <v>842</v>
      </c>
      <c r="K693" t="s">
        <v>11</v>
      </c>
      <c r="M693" t="s">
        <v>381</v>
      </c>
    </row>
    <row r="694" spans="1:13" ht="272.10000000000002">
      <c r="A694" t="s">
        <v>840</v>
      </c>
      <c r="B694">
        <v>0.06</v>
      </c>
      <c r="H694" t="s">
        <v>841</v>
      </c>
      <c r="I694" s="29" t="s">
        <v>843</v>
      </c>
      <c r="J694" s="29" t="s">
        <v>842</v>
      </c>
      <c r="K694" t="s">
        <v>11</v>
      </c>
      <c r="M694" t="s">
        <v>61</v>
      </c>
    </row>
    <row r="695" spans="1:13" ht="119.1">
      <c r="A695" t="s">
        <v>840</v>
      </c>
      <c r="B695">
        <v>0.06</v>
      </c>
      <c r="H695" t="s">
        <v>841</v>
      </c>
      <c r="J695" s="29" t="s">
        <v>842</v>
      </c>
      <c r="K695" t="s">
        <v>11</v>
      </c>
      <c r="M695" t="s">
        <v>64</v>
      </c>
    </row>
    <row r="696" spans="1:13" ht="119.1">
      <c r="A696" t="s">
        <v>840</v>
      </c>
      <c r="B696">
        <v>0.06</v>
      </c>
      <c r="H696" t="s">
        <v>841</v>
      </c>
      <c r="J696" s="29" t="s">
        <v>842</v>
      </c>
      <c r="K696" t="s">
        <v>11</v>
      </c>
      <c r="M696" t="s">
        <v>65</v>
      </c>
    </row>
    <row r="697" spans="1:13" ht="68.099999999999994">
      <c r="A697" t="s">
        <v>844</v>
      </c>
      <c r="B697">
        <v>0.26500000000000001</v>
      </c>
      <c r="H697" t="s">
        <v>845</v>
      </c>
      <c r="J697" s="29" t="s">
        <v>846</v>
      </c>
      <c r="K697" t="s">
        <v>11</v>
      </c>
      <c r="M697" t="s">
        <v>381</v>
      </c>
    </row>
    <row r="698" spans="1:13" ht="68.099999999999994">
      <c r="A698" t="s">
        <v>844</v>
      </c>
      <c r="B698">
        <v>0.26500000000000001</v>
      </c>
      <c r="H698" t="s">
        <v>845</v>
      </c>
      <c r="J698" s="29" t="s">
        <v>846</v>
      </c>
      <c r="K698" t="s">
        <v>11</v>
      </c>
      <c r="M698" t="s">
        <v>61</v>
      </c>
    </row>
    <row r="699" spans="1:13" ht="68.099999999999994">
      <c r="A699" t="s">
        <v>844</v>
      </c>
      <c r="B699">
        <v>0.26500000000000001</v>
      </c>
      <c r="H699" t="s">
        <v>845</v>
      </c>
      <c r="J699" s="29" t="s">
        <v>846</v>
      </c>
      <c r="K699" t="s">
        <v>11</v>
      </c>
      <c r="M699" t="s">
        <v>64</v>
      </c>
    </row>
    <row r="700" spans="1:13" ht="68.099999999999994">
      <c r="A700" t="s">
        <v>844</v>
      </c>
      <c r="B700">
        <v>0.26500000000000001</v>
      </c>
      <c r="H700" t="s">
        <v>845</v>
      </c>
      <c r="J700" s="29" t="s">
        <v>846</v>
      </c>
      <c r="K700" t="s">
        <v>11</v>
      </c>
      <c r="M700" t="s">
        <v>65</v>
      </c>
    </row>
    <row r="701" spans="1:13" ht="51">
      <c r="A701" t="s">
        <v>847</v>
      </c>
      <c r="B701">
        <v>0.6</v>
      </c>
      <c r="F701" t="s">
        <v>848</v>
      </c>
      <c r="H701" t="s">
        <v>849</v>
      </c>
      <c r="J701" s="29" t="s">
        <v>406</v>
      </c>
      <c r="K701" t="s">
        <v>12</v>
      </c>
      <c r="M701" t="s">
        <v>381</v>
      </c>
    </row>
    <row r="702" spans="1:13">
      <c r="A702" t="s">
        <v>847</v>
      </c>
      <c r="F702" t="s">
        <v>848</v>
      </c>
      <c r="H702" t="s">
        <v>849</v>
      </c>
      <c r="K702" t="s">
        <v>12</v>
      </c>
      <c r="M702" t="s">
        <v>61</v>
      </c>
    </row>
    <row r="703" spans="1:13">
      <c r="A703" t="s">
        <v>847</v>
      </c>
      <c r="F703" t="s">
        <v>848</v>
      </c>
      <c r="H703" t="s">
        <v>849</v>
      </c>
      <c r="K703" t="s">
        <v>12</v>
      </c>
      <c r="M703" t="s">
        <v>64</v>
      </c>
    </row>
    <row r="704" spans="1:13">
      <c r="A704" t="s">
        <v>847</v>
      </c>
      <c r="F704" t="s">
        <v>848</v>
      </c>
      <c r="H704" t="s">
        <v>849</v>
      </c>
      <c r="K704" t="s">
        <v>12</v>
      </c>
      <c r="M704" t="s">
        <v>65</v>
      </c>
    </row>
    <row r="705" spans="1:13" ht="33.950000000000003">
      <c r="A705" t="s">
        <v>850</v>
      </c>
      <c r="B705">
        <v>0.38159999999999999</v>
      </c>
      <c r="F705" t="s">
        <v>848</v>
      </c>
      <c r="H705" t="s">
        <v>851</v>
      </c>
      <c r="J705" s="29" t="s">
        <v>852</v>
      </c>
      <c r="K705" t="s">
        <v>12</v>
      </c>
      <c r="M705" t="s">
        <v>381</v>
      </c>
    </row>
    <row r="706" spans="1:13">
      <c r="A706" t="s">
        <v>850</v>
      </c>
      <c r="F706" t="s">
        <v>848</v>
      </c>
      <c r="H706" t="s">
        <v>851</v>
      </c>
      <c r="K706" t="s">
        <v>12</v>
      </c>
      <c r="M706" t="s">
        <v>61</v>
      </c>
    </row>
    <row r="707" spans="1:13">
      <c r="A707" t="s">
        <v>850</v>
      </c>
      <c r="F707" t="s">
        <v>848</v>
      </c>
      <c r="H707" t="s">
        <v>851</v>
      </c>
      <c r="K707" t="s">
        <v>12</v>
      </c>
      <c r="M707" t="s">
        <v>64</v>
      </c>
    </row>
    <row r="708" spans="1:13">
      <c r="A708" t="s">
        <v>850</v>
      </c>
      <c r="F708" t="s">
        <v>848</v>
      </c>
      <c r="H708" t="s">
        <v>851</v>
      </c>
      <c r="K708" t="s">
        <v>12</v>
      </c>
      <c r="M708" t="s">
        <v>65</v>
      </c>
    </row>
    <row r="709" spans="1:13" ht="33.950000000000003">
      <c r="A709" t="s">
        <v>853</v>
      </c>
      <c r="B709">
        <v>0.56000000000000005</v>
      </c>
      <c r="F709" t="s">
        <v>848</v>
      </c>
      <c r="H709" t="s">
        <v>854</v>
      </c>
      <c r="J709" s="29" t="s">
        <v>394</v>
      </c>
      <c r="K709" t="s">
        <v>12</v>
      </c>
      <c r="M709" t="s">
        <v>381</v>
      </c>
    </row>
    <row r="710" spans="1:13">
      <c r="A710" t="s">
        <v>853</v>
      </c>
      <c r="F710" t="s">
        <v>848</v>
      </c>
      <c r="H710" t="s">
        <v>854</v>
      </c>
      <c r="K710" t="s">
        <v>12</v>
      </c>
      <c r="M710" t="s">
        <v>61</v>
      </c>
    </row>
    <row r="711" spans="1:13">
      <c r="A711" t="s">
        <v>853</v>
      </c>
      <c r="F711" t="s">
        <v>848</v>
      </c>
      <c r="H711" t="s">
        <v>854</v>
      </c>
      <c r="K711" t="s">
        <v>12</v>
      </c>
      <c r="M711" t="s">
        <v>64</v>
      </c>
    </row>
    <row r="712" spans="1:13">
      <c r="A712" t="s">
        <v>853</v>
      </c>
      <c r="F712" t="s">
        <v>848</v>
      </c>
      <c r="H712" t="s">
        <v>854</v>
      </c>
      <c r="K712" t="s">
        <v>12</v>
      </c>
      <c r="M712" t="s">
        <v>65</v>
      </c>
    </row>
    <row r="713" spans="1:13" ht="119.1">
      <c r="A713" t="s">
        <v>855</v>
      </c>
      <c r="B713">
        <v>0.44</v>
      </c>
      <c r="F713" t="s">
        <v>848</v>
      </c>
      <c r="H713" t="s">
        <v>856</v>
      </c>
      <c r="I713" s="29" t="s">
        <v>857</v>
      </c>
      <c r="J713" s="29" t="s">
        <v>72</v>
      </c>
      <c r="K713" t="s">
        <v>12</v>
      </c>
      <c r="M713" t="s">
        <v>381</v>
      </c>
    </row>
    <row r="714" spans="1:13" ht="119.1">
      <c r="A714" t="s">
        <v>855</v>
      </c>
      <c r="F714" t="s">
        <v>848</v>
      </c>
      <c r="H714" t="s">
        <v>856</v>
      </c>
      <c r="J714" s="29" t="s">
        <v>72</v>
      </c>
      <c r="K714" t="s">
        <v>12</v>
      </c>
      <c r="M714" t="s">
        <v>61</v>
      </c>
    </row>
    <row r="715" spans="1:13" ht="119.1">
      <c r="A715" t="s">
        <v>855</v>
      </c>
      <c r="F715" t="s">
        <v>848</v>
      </c>
      <c r="H715" t="s">
        <v>856</v>
      </c>
      <c r="J715" s="29" t="s">
        <v>72</v>
      </c>
      <c r="K715" t="s">
        <v>12</v>
      </c>
      <c r="M715" t="s">
        <v>64</v>
      </c>
    </row>
    <row r="716" spans="1:13" ht="119.1">
      <c r="A716" t="s">
        <v>855</v>
      </c>
      <c r="F716" t="s">
        <v>848</v>
      </c>
      <c r="H716" t="s">
        <v>856</v>
      </c>
      <c r="J716" s="29" t="s">
        <v>72</v>
      </c>
      <c r="K716" t="s">
        <v>12</v>
      </c>
      <c r="M716" t="s">
        <v>65</v>
      </c>
    </row>
    <row r="717" spans="1:13" ht="84.95">
      <c r="A717" t="s">
        <v>858</v>
      </c>
      <c r="B717">
        <v>76</v>
      </c>
      <c r="F717" t="s">
        <v>848</v>
      </c>
      <c r="H717" t="s">
        <v>859</v>
      </c>
      <c r="J717" s="29" t="s">
        <v>432</v>
      </c>
      <c r="K717" t="s">
        <v>12</v>
      </c>
      <c r="M717" t="s">
        <v>381</v>
      </c>
    </row>
    <row r="718" spans="1:13" ht="153">
      <c r="A718" t="s">
        <v>860</v>
      </c>
      <c r="B718" t="s">
        <v>861</v>
      </c>
      <c r="F718" t="s">
        <v>862</v>
      </c>
      <c r="H718" t="s">
        <v>863</v>
      </c>
      <c r="I718" s="29" t="s">
        <v>864</v>
      </c>
      <c r="J718" s="29" t="s">
        <v>74</v>
      </c>
      <c r="K718" t="s">
        <v>12</v>
      </c>
      <c r="M718" t="s">
        <v>381</v>
      </c>
    </row>
    <row r="719" spans="1:13" ht="153">
      <c r="A719" t="s">
        <v>860</v>
      </c>
      <c r="F719" t="s">
        <v>862</v>
      </c>
      <c r="H719" t="s">
        <v>863</v>
      </c>
      <c r="J719" s="29" t="s">
        <v>74</v>
      </c>
      <c r="K719" t="s">
        <v>12</v>
      </c>
      <c r="M719" t="s">
        <v>61</v>
      </c>
    </row>
    <row r="720" spans="1:13" ht="153">
      <c r="A720" t="s">
        <v>860</v>
      </c>
      <c r="F720" t="s">
        <v>862</v>
      </c>
      <c r="H720" t="s">
        <v>863</v>
      </c>
      <c r="J720" s="29" t="s">
        <v>74</v>
      </c>
      <c r="K720" t="s">
        <v>12</v>
      </c>
      <c r="M720" t="s">
        <v>64</v>
      </c>
    </row>
    <row r="721" spans="1:13" ht="153">
      <c r="A721" t="s">
        <v>860</v>
      </c>
      <c r="F721" t="s">
        <v>862</v>
      </c>
      <c r="H721" t="s">
        <v>863</v>
      </c>
      <c r="J721" s="29" t="s">
        <v>74</v>
      </c>
      <c r="K721" t="s">
        <v>12</v>
      </c>
      <c r="M721" t="s">
        <v>65</v>
      </c>
    </row>
    <row r="722" spans="1:13" ht="102">
      <c r="A722" t="s">
        <v>865</v>
      </c>
      <c r="B722" t="s">
        <v>866</v>
      </c>
      <c r="F722" t="s">
        <v>862</v>
      </c>
      <c r="H722" t="s">
        <v>867</v>
      </c>
      <c r="I722" s="29" t="s">
        <v>868</v>
      </c>
      <c r="J722" s="29" t="s">
        <v>77</v>
      </c>
      <c r="K722" t="s">
        <v>12</v>
      </c>
      <c r="M722" t="s">
        <v>381</v>
      </c>
    </row>
    <row r="723" spans="1:13" ht="51">
      <c r="A723" t="s">
        <v>865</v>
      </c>
      <c r="F723" t="s">
        <v>862</v>
      </c>
      <c r="H723" t="s">
        <v>867</v>
      </c>
      <c r="J723" s="29" t="s">
        <v>77</v>
      </c>
      <c r="K723" t="s">
        <v>12</v>
      </c>
      <c r="M723" t="s">
        <v>61</v>
      </c>
    </row>
    <row r="724" spans="1:13" ht="51">
      <c r="A724" t="s">
        <v>865</v>
      </c>
      <c r="F724" t="s">
        <v>862</v>
      </c>
      <c r="H724" t="s">
        <v>867</v>
      </c>
      <c r="J724" s="29" t="s">
        <v>77</v>
      </c>
      <c r="K724" t="s">
        <v>12</v>
      </c>
      <c r="M724" t="s">
        <v>64</v>
      </c>
    </row>
    <row r="725" spans="1:13" ht="51">
      <c r="A725" t="s">
        <v>865</v>
      </c>
      <c r="F725" t="s">
        <v>862</v>
      </c>
      <c r="H725" t="s">
        <v>867</v>
      </c>
      <c r="J725" s="29" t="s">
        <v>77</v>
      </c>
      <c r="K725" t="s">
        <v>12</v>
      </c>
      <c r="M725" t="s">
        <v>65</v>
      </c>
    </row>
    <row r="726" spans="1:13" ht="119.1">
      <c r="A726" t="s">
        <v>869</v>
      </c>
      <c r="B726" t="s">
        <v>870</v>
      </c>
      <c r="F726" t="s">
        <v>862</v>
      </c>
      <c r="H726" t="s">
        <v>871</v>
      </c>
      <c r="I726" s="29" t="s">
        <v>872</v>
      </c>
      <c r="J726" s="29" t="s">
        <v>76</v>
      </c>
      <c r="K726" t="s">
        <v>12</v>
      </c>
      <c r="M726" t="s">
        <v>381</v>
      </c>
    </row>
    <row r="727" spans="1:13" ht="51">
      <c r="A727" t="s">
        <v>869</v>
      </c>
      <c r="F727" t="s">
        <v>862</v>
      </c>
      <c r="H727" t="s">
        <v>871</v>
      </c>
      <c r="J727" s="29" t="s">
        <v>76</v>
      </c>
      <c r="K727" t="s">
        <v>12</v>
      </c>
      <c r="M727" t="s">
        <v>61</v>
      </c>
    </row>
    <row r="728" spans="1:13" ht="51">
      <c r="A728" t="s">
        <v>869</v>
      </c>
      <c r="F728" t="s">
        <v>862</v>
      </c>
      <c r="H728" t="s">
        <v>871</v>
      </c>
      <c r="J728" s="29" t="s">
        <v>76</v>
      </c>
      <c r="K728" t="s">
        <v>12</v>
      </c>
      <c r="M728" t="s">
        <v>64</v>
      </c>
    </row>
    <row r="729" spans="1:13" ht="51">
      <c r="A729" t="s">
        <v>869</v>
      </c>
      <c r="F729" t="s">
        <v>862</v>
      </c>
      <c r="H729" t="s">
        <v>871</v>
      </c>
      <c r="J729" s="29" t="s">
        <v>76</v>
      </c>
      <c r="K729" t="s">
        <v>12</v>
      </c>
      <c r="M729" t="s">
        <v>65</v>
      </c>
    </row>
    <row r="730" spans="1:13" ht="68.099999999999994">
      <c r="A730" t="s">
        <v>873</v>
      </c>
      <c r="B730" t="s">
        <v>874</v>
      </c>
      <c r="F730" t="s">
        <v>862</v>
      </c>
      <c r="H730" t="s">
        <v>875</v>
      </c>
      <c r="I730" s="29" t="s">
        <v>876</v>
      </c>
      <c r="J730" s="29" t="s">
        <v>75</v>
      </c>
      <c r="K730" t="s">
        <v>12</v>
      </c>
      <c r="M730" t="s">
        <v>381</v>
      </c>
    </row>
    <row r="731" spans="1:13" ht="33.950000000000003">
      <c r="A731" t="s">
        <v>873</v>
      </c>
      <c r="F731" t="s">
        <v>862</v>
      </c>
      <c r="H731" t="s">
        <v>875</v>
      </c>
      <c r="J731" s="29" t="s">
        <v>75</v>
      </c>
      <c r="K731" t="s">
        <v>12</v>
      </c>
      <c r="M731" t="s">
        <v>61</v>
      </c>
    </row>
    <row r="732" spans="1:13" ht="33.950000000000003">
      <c r="A732" t="s">
        <v>873</v>
      </c>
      <c r="F732" t="s">
        <v>862</v>
      </c>
      <c r="H732" t="s">
        <v>875</v>
      </c>
      <c r="J732" s="29" t="s">
        <v>75</v>
      </c>
      <c r="K732" t="s">
        <v>12</v>
      </c>
      <c r="M732" t="s">
        <v>64</v>
      </c>
    </row>
    <row r="733" spans="1:13" ht="33.950000000000003">
      <c r="A733" t="s">
        <v>873</v>
      </c>
      <c r="F733" t="s">
        <v>862</v>
      </c>
      <c r="H733" t="s">
        <v>875</v>
      </c>
      <c r="J733" s="29" t="s">
        <v>75</v>
      </c>
      <c r="K733" t="s">
        <v>12</v>
      </c>
      <c r="M733" t="s">
        <v>65</v>
      </c>
    </row>
    <row r="734" spans="1:13" ht="119.1">
      <c r="A734" t="s">
        <v>877</v>
      </c>
      <c r="B734">
        <v>0.05</v>
      </c>
      <c r="F734" t="s">
        <v>848</v>
      </c>
      <c r="H734" t="s">
        <v>878</v>
      </c>
      <c r="I734" s="29" t="s">
        <v>879</v>
      </c>
      <c r="J734" s="29" t="s">
        <v>880</v>
      </c>
      <c r="K734" t="s">
        <v>12</v>
      </c>
      <c r="M734" t="s">
        <v>381</v>
      </c>
    </row>
    <row r="735" spans="1:13" ht="119.1">
      <c r="A735" t="s">
        <v>877</v>
      </c>
      <c r="B735">
        <v>0.05</v>
      </c>
      <c r="F735" t="s">
        <v>848</v>
      </c>
      <c r="H735" t="s">
        <v>878</v>
      </c>
      <c r="I735" s="29" t="s">
        <v>879</v>
      </c>
      <c r="J735" s="29" t="s">
        <v>880</v>
      </c>
      <c r="K735" t="s">
        <v>12</v>
      </c>
      <c r="M735" t="s">
        <v>61</v>
      </c>
    </row>
    <row r="736" spans="1:13" ht="119.1">
      <c r="A736" t="s">
        <v>877</v>
      </c>
      <c r="B736">
        <v>0.05</v>
      </c>
      <c r="F736" t="s">
        <v>848</v>
      </c>
      <c r="H736" t="s">
        <v>878</v>
      </c>
      <c r="I736" s="29" t="s">
        <v>879</v>
      </c>
      <c r="J736" s="29" t="s">
        <v>880</v>
      </c>
      <c r="K736" t="s">
        <v>12</v>
      </c>
      <c r="M736" t="s">
        <v>64</v>
      </c>
    </row>
    <row r="737" spans="1:13" ht="119.1">
      <c r="A737" t="s">
        <v>877</v>
      </c>
      <c r="B737">
        <v>0.05</v>
      </c>
      <c r="F737" t="s">
        <v>848</v>
      </c>
      <c r="H737" t="s">
        <v>878</v>
      </c>
      <c r="I737" s="29" t="s">
        <v>879</v>
      </c>
      <c r="J737" s="29" t="s">
        <v>880</v>
      </c>
      <c r="K737" t="s">
        <v>12</v>
      </c>
      <c r="M737" t="s">
        <v>65</v>
      </c>
    </row>
    <row r="738" spans="1:13" ht="288.95">
      <c r="A738" t="s">
        <v>881</v>
      </c>
      <c r="B738">
        <v>0.25556499999999999</v>
      </c>
      <c r="H738" t="s">
        <v>882</v>
      </c>
      <c r="I738" s="29" t="s">
        <v>883</v>
      </c>
      <c r="J738" s="29" t="s">
        <v>884</v>
      </c>
      <c r="K738" t="s">
        <v>13</v>
      </c>
      <c r="L738">
        <v>0.56000000000000005</v>
      </c>
    </row>
    <row r="739" spans="1:13" ht="17.100000000000001">
      <c r="A739" t="s">
        <v>881</v>
      </c>
      <c r="B739">
        <v>0.26352999999999999</v>
      </c>
      <c r="H739" t="s">
        <v>885</v>
      </c>
      <c r="J739" s="29" t="s">
        <v>884</v>
      </c>
      <c r="K739" t="s">
        <v>13</v>
      </c>
      <c r="L739">
        <v>0.57999999999999996</v>
      </c>
    </row>
    <row r="740" spans="1:13" ht="17.100000000000001">
      <c r="A740" t="s">
        <v>881</v>
      </c>
      <c r="B740">
        <v>0.27029799999999998</v>
      </c>
      <c r="H740" t="s">
        <v>886</v>
      </c>
      <c r="J740" s="29" t="s">
        <v>884</v>
      </c>
      <c r="K740" t="s">
        <v>13</v>
      </c>
      <c r="L740">
        <v>0.6</v>
      </c>
    </row>
    <row r="741" spans="1:13" ht="17.100000000000001">
      <c r="A741" t="s">
        <v>881</v>
      </c>
      <c r="B741">
        <v>0.27773599999999998</v>
      </c>
      <c r="H741" t="s">
        <v>887</v>
      </c>
      <c r="J741" s="29" t="s">
        <v>884</v>
      </c>
      <c r="K741" t="s">
        <v>13</v>
      </c>
      <c r="L741">
        <v>0.62</v>
      </c>
    </row>
    <row r="742" spans="1:13" ht="17.100000000000001">
      <c r="A742" t="s">
        <v>881</v>
      </c>
      <c r="B742">
        <v>0.28419899999999998</v>
      </c>
      <c r="H742" t="s">
        <v>888</v>
      </c>
      <c r="J742" s="29" t="s">
        <v>884</v>
      </c>
      <c r="K742" t="s">
        <v>13</v>
      </c>
      <c r="L742">
        <v>0.64</v>
      </c>
    </row>
    <row r="743" spans="1:13" ht="17.100000000000001">
      <c r="A743" t="s">
        <v>881</v>
      </c>
      <c r="B743">
        <v>0.291049</v>
      </c>
      <c r="H743" t="s">
        <v>889</v>
      </c>
      <c r="J743" s="29" t="s">
        <v>884</v>
      </c>
      <c r="K743" t="s">
        <v>13</v>
      </c>
      <c r="L743">
        <v>0.66</v>
      </c>
    </row>
    <row r="744" spans="1:13" ht="17.100000000000001">
      <c r="A744" t="s">
        <v>881</v>
      </c>
      <c r="B744">
        <v>0.29649199999999998</v>
      </c>
      <c r="H744" t="s">
        <v>890</v>
      </c>
      <c r="J744" s="29" t="s">
        <v>884</v>
      </c>
      <c r="K744" t="s">
        <v>13</v>
      </c>
      <c r="L744">
        <v>0.68</v>
      </c>
    </row>
    <row r="745" spans="1:13" ht="17.100000000000001">
      <c r="A745" t="s">
        <v>881</v>
      </c>
      <c r="B745">
        <v>0.304284</v>
      </c>
      <c r="H745" t="s">
        <v>891</v>
      </c>
      <c r="J745" s="29" t="s">
        <v>884</v>
      </c>
      <c r="K745" t="s">
        <v>13</v>
      </c>
      <c r="L745">
        <v>0.7</v>
      </c>
    </row>
    <row r="746" spans="1:13" ht="17.100000000000001">
      <c r="A746" t="s">
        <v>881</v>
      </c>
      <c r="B746">
        <v>0.31103500000000001</v>
      </c>
      <c r="H746" t="s">
        <v>892</v>
      </c>
      <c r="J746" s="29" t="s">
        <v>884</v>
      </c>
      <c r="K746" t="s">
        <v>13</v>
      </c>
      <c r="L746">
        <v>0.72</v>
      </c>
    </row>
    <row r="747" spans="1:13" ht="17.100000000000001">
      <c r="A747" t="s">
        <v>881</v>
      </c>
      <c r="B747">
        <v>0.31858799999999998</v>
      </c>
      <c r="H747" t="s">
        <v>893</v>
      </c>
      <c r="J747" s="29" t="s">
        <v>884</v>
      </c>
      <c r="K747" t="s">
        <v>13</v>
      </c>
      <c r="L747">
        <v>0.74</v>
      </c>
    </row>
    <row r="748" spans="1:13" ht="17.100000000000001">
      <c r="A748" t="s">
        <v>881</v>
      </c>
      <c r="B748">
        <v>0.32582100000000003</v>
      </c>
      <c r="H748" t="s">
        <v>894</v>
      </c>
      <c r="J748" s="29" t="s">
        <v>884</v>
      </c>
      <c r="K748" t="s">
        <v>13</v>
      </c>
      <c r="L748">
        <v>0.76</v>
      </c>
    </row>
    <row r="749" spans="1:13" ht="17.100000000000001">
      <c r="A749" t="s">
        <v>881</v>
      </c>
      <c r="B749">
        <v>0.33354499999999998</v>
      </c>
      <c r="H749" t="s">
        <v>895</v>
      </c>
      <c r="J749" s="29" t="s">
        <v>884</v>
      </c>
      <c r="K749" t="s">
        <v>13</v>
      </c>
      <c r="L749">
        <v>0.78</v>
      </c>
    </row>
    <row r="750" spans="1:13" ht="17.100000000000001">
      <c r="A750" t="s">
        <v>881</v>
      </c>
      <c r="B750">
        <v>0.33976400000000001</v>
      </c>
      <c r="H750" t="s">
        <v>896</v>
      </c>
      <c r="J750" s="29" t="s">
        <v>884</v>
      </c>
      <c r="K750" t="s">
        <v>13</v>
      </c>
      <c r="L750">
        <v>0.8</v>
      </c>
    </row>
    <row r="751" spans="1:13" ht="17.100000000000001">
      <c r="A751" t="s">
        <v>881</v>
      </c>
      <c r="B751">
        <v>0.34668399999999999</v>
      </c>
      <c r="H751" t="s">
        <v>897</v>
      </c>
      <c r="J751" s="29" t="s">
        <v>884</v>
      </c>
      <c r="K751" t="s">
        <v>13</v>
      </c>
      <c r="L751">
        <v>0.82</v>
      </c>
    </row>
    <row r="752" spans="1:13" ht="17.100000000000001">
      <c r="A752" t="s">
        <v>881</v>
      </c>
      <c r="B752">
        <v>0.35390100000000002</v>
      </c>
      <c r="H752" t="s">
        <v>898</v>
      </c>
      <c r="J752" s="29" t="s">
        <v>884</v>
      </c>
      <c r="K752" t="s">
        <v>13</v>
      </c>
      <c r="L752">
        <v>0.84</v>
      </c>
    </row>
    <row r="753" spans="1:12" ht="17.100000000000001">
      <c r="A753" t="s">
        <v>881</v>
      </c>
      <c r="B753">
        <v>0.36054599999999998</v>
      </c>
      <c r="H753" t="s">
        <v>899</v>
      </c>
      <c r="J753" s="29" t="s">
        <v>884</v>
      </c>
      <c r="K753" t="s">
        <v>13</v>
      </c>
      <c r="L753">
        <v>0.86</v>
      </c>
    </row>
    <row r="754" spans="1:12" ht="17.100000000000001">
      <c r="A754" t="s">
        <v>881</v>
      </c>
      <c r="B754">
        <v>0.367761</v>
      </c>
      <c r="H754" t="s">
        <v>900</v>
      </c>
      <c r="J754" s="29" t="s">
        <v>884</v>
      </c>
      <c r="K754" t="s">
        <v>13</v>
      </c>
      <c r="L754">
        <v>0.88</v>
      </c>
    </row>
    <row r="755" spans="1:12" ht="17.100000000000001">
      <c r="A755" t="s">
        <v>881</v>
      </c>
      <c r="B755">
        <v>0.374581</v>
      </c>
      <c r="H755" t="s">
        <v>901</v>
      </c>
      <c r="J755" s="29" t="s">
        <v>884</v>
      </c>
      <c r="K755" t="s">
        <v>13</v>
      </c>
      <c r="L755">
        <v>0.9</v>
      </c>
    </row>
    <row r="756" spans="1:12" ht="17.100000000000001">
      <c r="A756" t="s">
        <v>881</v>
      </c>
      <c r="B756">
        <v>0.38114999999999999</v>
      </c>
      <c r="H756" t="s">
        <v>902</v>
      </c>
      <c r="J756" s="29" t="s">
        <v>884</v>
      </c>
      <c r="K756" t="s">
        <v>13</v>
      </c>
      <c r="L756">
        <v>0.92</v>
      </c>
    </row>
    <row r="757" spans="1:12" ht="17.100000000000001">
      <c r="A757" t="s">
        <v>881</v>
      </c>
      <c r="B757">
        <v>0.38903199999999999</v>
      </c>
      <c r="H757" t="s">
        <v>903</v>
      </c>
      <c r="J757" s="29" t="s">
        <v>884</v>
      </c>
      <c r="K757" t="s">
        <v>13</v>
      </c>
      <c r="L757">
        <v>0.94</v>
      </c>
    </row>
    <row r="758" spans="1:12" ht="17.100000000000001">
      <c r="A758" t="s">
        <v>881</v>
      </c>
      <c r="B758">
        <v>0.39443299999999998</v>
      </c>
      <c r="H758" t="s">
        <v>904</v>
      </c>
      <c r="J758" s="29" t="s">
        <v>884</v>
      </c>
      <c r="K758" t="s">
        <v>13</v>
      </c>
      <c r="L758">
        <v>0.96</v>
      </c>
    </row>
    <row r="759" spans="1:12" ht="17.100000000000001">
      <c r="A759" t="s">
        <v>881</v>
      </c>
      <c r="B759">
        <v>0.401752</v>
      </c>
      <c r="H759" t="s">
        <v>905</v>
      </c>
      <c r="J759" s="29" t="s">
        <v>884</v>
      </c>
      <c r="K759" t="s">
        <v>13</v>
      </c>
      <c r="L759">
        <v>0.98</v>
      </c>
    </row>
    <row r="760" spans="1:12" ht="17.100000000000001">
      <c r="A760" t="s">
        <v>881</v>
      </c>
      <c r="B760">
        <v>0.40764800000000001</v>
      </c>
      <c r="H760" t="s">
        <v>906</v>
      </c>
      <c r="J760" s="29" t="s">
        <v>884</v>
      </c>
      <c r="K760" t="s">
        <v>13</v>
      </c>
      <c r="L760">
        <v>1</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423-0743-D046-A500-78A5ADE41CFD}">
  <dimension ref="A1:S454"/>
  <sheetViews>
    <sheetView workbookViewId="0">
      <selection activeCell="N1" sqref="A1:S454"/>
    </sheetView>
  </sheetViews>
  <sheetFormatPr defaultColWidth="11" defaultRowHeight="15.95"/>
  <cols>
    <col min="1" max="1" width="17.625" customWidth="1"/>
    <col min="3" max="6" width="0" hidden="1" customWidth="1"/>
    <col min="7" max="7" width="12.875" customWidth="1"/>
    <col min="10" max="10" width="14.625" customWidth="1"/>
    <col min="13" max="13" width="13.875" customWidth="1"/>
    <col min="14" max="14" width="11" customWidth="1"/>
    <col min="15" max="15" width="12.125" customWidth="1"/>
    <col min="16" max="16" width="43.5" customWidth="1"/>
  </cols>
  <sheetData>
    <row r="1" spans="1:19" ht="18" thickBot="1">
      <c r="A1" s="69" t="s">
        <v>89</v>
      </c>
      <c r="B1" s="65" t="s">
        <v>90</v>
      </c>
      <c r="C1" s="65" t="s">
        <v>91</v>
      </c>
      <c r="D1" s="65" t="s">
        <v>92</v>
      </c>
      <c r="E1" s="65" t="s">
        <v>93</v>
      </c>
      <c r="F1" s="65" t="s">
        <v>94</v>
      </c>
      <c r="G1" s="65" t="s">
        <v>96</v>
      </c>
      <c r="H1" s="66" t="s">
        <v>97</v>
      </c>
      <c r="I1" s="66" t="s">
        <v>98</v>
      </c>
      <c r="J1" s="65" t="s">
        <v>99</v>
      </c>
      <c r="K1" s="65" t="s">
        <v>100</v>
      </c>
      <c r="L1" s="65" t="s">
        <v>101</v>
      </c>
      <c r="M1" s="65" t="s">
        <v>102</v>
      </c>
      <c r="N1" s="73" t="s">
        <v>907</v>
      </c>
      <c r="O1" s="73" t="s">
        <v>908</v>
      </c>
      <c r="P1" s="73" t="s">
        <v>909</v>
      </c>
      <c r="Q1" s="68" t="s">
        <v>910</v>
      </c>
    </row>
    <row r="2" spans="1:19" ht="33.950000000000003" hidden="1">
      <c r="A2" s="70" t="s">
        <v>378</v>
      </c>
      <c r="B2" s="64">
        <v>1867283</v>
      </c>
      <c r="C2" s="64"/>
      <c r="D2" s="64"/>
      <c r="E2" s="64"/>
      <c r="F2" s="64" t="s">
        <v>223</v>
      </c>
      <c r="G2" s="64" t="s">
        <v>379</v>
      </c>
      <c r="H2" s="67"/>
      <c r="I2" s="67" t="s">
        <v>380</v>
      </c>
      <c r="J2" s="64" t="s">
        <v>39</v>
      </c>
      <c r="K2" s="64"/>
      <c r="L2" s="64" t="s">
        <v>381</v>
      </c>
      <c r="M2" s="64"/>
      <c r="P2" s="71" t="s">
        <v>911</v>
      </c>
      <c r="Q2" s="71"/>
      <c r="S2" t="s">
        <v>912</v>
      </c>
    </row>
    <row r="3" spans="1:19" hidden="1">
      <c r="A3" s="70" t="s">
        <v>378</v>
      </c>
      <c r="B3" s="64">
        <v>1266860</v>
      </c>
      <c r="C3" s="64"/>
      <c r="D3" s="64"/>
      <c r="E3" s="64"/>
      <c r="F3" s="64" t="s">
        <v>223</v>
      </c>
      <c r="G3" s="64" t="s">
        <v>379</v>
      </c>
      <c r="H3" s="67"/>
      <c r="I3" s="67"/>
      <c r="J3" s="64" t="s">
        <v>39</v>
      </c>
      <c r="K3" s="64"/>
      <c r="L3" s="64" t="s">
        <v>61</v>
      </c>
      <c r="M3" s="64"/>
      <c r="P3" s="64" t="s">
        <v>913</v>
      </c>
      <c r="Q3" s="64"/>
    </row>
    <row r="4" spans="1:19" hidden="1">
      <c r="A4" s="70" t="s">
        <v>378</v>
      </c>
      <c r="B4" s="64">
        <v>987653</v>
      </c>
      <c r="C4" s="64"/>
      <c r="D4" s="64"/>
      <c r="E4" s="64"/>
      <c r="F4" s="64" t="s">
        <v>223</v>
      </c>
      <c r="G4" s="64" t="s">
        <v>379</v>
      </c>
      <c r="H4" s="67"/>
      <c r="I4" s="67"/>
      <c r="J4" s="64" t="s">
        <v>39</v>
      </c>
      <c r="K4" s="64"/>
      <c r="L4" s="64" t="s">
        <v>64</v>
      </c>
      <c r="M4" s="64"/>
      <c r="P4" s="64" t="s">
        <v>913</v>
      </c>
      <c r="Q4" s="64"/>
    </row>
    <row r="5" spans="1:19" hidden="1">
      <c r="A5" s="70" t="s">
        <v>378</v>
      </c>
      <c r="B5" s="64">
        <v>1208333</v>
      </c>
      <c r="C5" s="64"/>
      <c r="D5" s="64"/>
      <c r="E5" s="64"/>
      <c r="F5" s="64" t="s">
        <v>223</v>
      </c>
      <c r="G5" s="64" t="s">
        <v>379</v>
      </c>
      <c r="H5" s="67"/>
      <c r="I5" s="67"/>
      <c r="J5" s="64" t="s">
        <v>39</v>
      </c>
      <c r="K5" s="64"/>
      <c r="L5" s="64" t="s">
        <v>65</v>
      </c>
      <c r="M5" s="64"/>
      <c r="P5" s="64" t="s">
        <v>913</v>
      </c>
      <c r="Q5" s="64"/>
      <c r="S5" t="s">
        <v>914</v>
      </c>
    </row>
    <row r="6" spans="1:19" ht="68.099999999999994" hidden="1">
      <c r="A6" s="70" t="s">
        <v>382</v>
      </c>
      <c r="B6" s="64">
        <v>5040</v>
      </c>
      <c r="C6" s="64"/>
      <c r="D6" s="64"/>
      <c r="E6" s="64"/>
      <c r="F6" s="64" t="s">
        <v>223</v>
      </c>
      <c r="G6" s="64" t="s">
        <v>383</v>
      </c>
      <c r="H6" s="67" t="s">
        <v>384</v>
      </c>
      <c r="I6" s="67" t="s">
        <v>66</v>
      </c>
      <c r="J6" s="64" t="s">
        <v>39</v>
      </c>
      <c r="K6" s="64"/>
      <c r="L6" s="64" t="s">
        <v>381</v>
      </c>
      <c r="M6" s="64"/>
      <c r="P6" s="71" t="s">
        <v>911</v>
      </c>
      <c r="Q6" s="64"/>
    </row>
    <row r="7" spans="1:19" ht="68.099999999999994" hidden="1">
      <c r="A7" s="70" t="s">
        <v>382</v>
      </c>
      <c r="B7" s="64"/>
      <c r="C7" s="64"/>
      <c r="D7" s="64"/>
      <c r="E7" s="64"/>
      <c r="F7" s="64" t="s">
        <v>223</v>
      </c>
      <c r="G7" s="64" t="s">
        <v>383</v>
      </c>
      <c r="H7" s="67" t="s">
        <v>384</v>
      </c>
      <c r="I7" s="67" t="s">
        <v>66</v>
      </c>
      <c r="J7" s="64" t="s">
        <v>39</v>
      </c>
      <c r="K7" s="64"/>
      <c r="L7" s="64" t="s">
        <v>61</v>
      </c>
      <c r="M7" s="64"/>
      <c r="P7" s="64" t="s">
        <v>66</v>
      </c>
      <c r="Q7" s="64"/>
    </row>
    <row r="8" spans="1:19" ht="68.099999999999994" hidden="1">
      <c r="A8" s="70" t="s">
        <v>382</v>
      </c>
      <c r="B8" s="64"/>
      <c r="C8" s="64"/>
      <c r="D8" s="64"/>
      <c r="E8" s="64"/>
      <c r="F8" s="64" t="s">
        <v>223</v>
      </c>
      <c r="G8" s="64" t="s">
        <v>383</v>
      </c>
      <c r="H8" s="67" t="s">
        <v>384</v>
      </c>
      <c r="I8" s="67" t="s">
        <v>66</v>
      </c>
      <c r="J8" s="64" t="s">
        <v>39</v>
      </c>
      <c r="K8" s="64"/>
      <c r="L8" s="64" t="s">
        <v>64</v>
      </c>
      <c r="M8" s="64"/>
      <c r="P8" s="64" t="s">
        <v>66</v>
      </c>
      <c r="Q8" s="64"/>
    </row>
    <row r="9" spans="1:19" ht="68.099999999999994" hidden="1">
      <c r="A9" s="70" t="s">
        <v>382</v>
      </c>
      <c r="B9" s="64"/>
      <c r="C9" s="64"/>
      <c r="D9" s="64"/>
      <c r="E9" s="64"/>
      <c r="F9" s="64" t="s">
        <v>223</v>
      </c>
      <c r="G9" s="64" t="s">
        <v>383</v>
      </c>
      <c r="H9" s="67" t="s">
        <v>384</v>
      </c>
      <c r="I9" s="67" t="s">
        <v>66</v>
      </c>
      <c r="J9" s="64" t="s">
        <v>39</v>
      </c>
      <c r="K9" s="64"/>
      <c r="L9" s="64" t="s">
        <v>65</v>
      </c>
      <c r="M9" s="64"/>
      <c r="P9" s="64" t="s">
        <v>66</v>
      </c>
      <c r="Q9" s="64"/>
    </row>
    <row r="10" spans="1:19" ht="68.099999999999994" hidden="1">
      <c r="A10" s="70" t="s">
        <v>386</v>
      </c>
      <c r="B10" s="64">
        <v>0.26</v>
      </c>
      <c r="C10" s="64">
        <v>0.247</v>
      </c>
      <c r="D10" s="64">
        <v>0.27300000000000002</v>
      </c>
      <c r="E10" s="64">
        <v>4419</v>
      </c>
      <c r="F10" s="64" t="s">
        <v>106</v>
      </c>
      <c r="G10" s="64" t="s">
        <v>387</v>
      </c>
      <c r="H10" s="67" t="s">
        <v>388</v>
      </c>
      <c r="I10" s="67" t="s">
        <v>389</v>
      </c>
      <c r="J10" s="64" t="s">
        <v>39</v>
      </c>
      <c r="K10" s="64"/>
      <c r="L10" s="64" t="s">
        <v>381</v>
      </c>
      <c r="M10" s="64"/>
      <c r="P10" s="71" t="s">
        <v>911</v>
      </c>
      <c r="Q10" s="64"/>
    </row>
    <row r="11" spans="1:19" hidden="1">
      <c r="A11" s="70" t="s">
        <v>386</v>
      </c>
      <c r="B11" s="64"/>
      <c r="C11" s="64"/>
      <c r="D11" s="64"/>
      <c r="E11" s="64"/>
      <c r="F11" s="64" t="s">
        <v>106</v>
      </c>
      <c r="G11" s="64" t="s">
        <v>387</v>
      </c>
      <c r="H11" s="67"/>
      <c r="I11" s="67"/>
      <c r="J11" s="64" t="s">
        <v>39</v>
      </c>
      <c r="K11" s="64"/>
      <c r="L11" s="64" t="s">
        <v>61</v>
      </c>
      <c r="M11" s="64"/>
      <c r="P11" s="64"/>
      <c r="Q11" s="64"/>
    </row>
    <row r="12" spans="1:19" hidden="1">
      <c r="A12" s="70" t="s">
        <v>386</v>
      </c>
      <c r="B12" s="64"/>
      <c r="C12" s="64"/>
      <c r="D12" s="64"/>
      <c r="E12" s="64"/>
      <c r="F12" s="64" t="s">
        <v>106</v>
      </c>
      <c r="G12" s="64" t="s">
        <v>387</v>
      </c>
      <c r="H12" s="67"/>
      <c r="I12" s="67"/>
      <c r="J12" s="64" t="s">
        <v>39</v>
      </c>
      <c r="K12" s="64"/>
      <c r="L12" s="64" t="s">
        <v>64</v>
      </c>
      <c r="M12" s="64"/>
      <c r="P12" s="64"/>
      <c r="Q12" s="64"/>
    </row>
    <row r="13" spans="1:19" hidden="1">
      <c r="A13" s="70" t="s">
        <v>386</v>
      </c>
      <c r="B13" s="64"/>
      <c r="C13" s="64"/>
      <c r="D13" s="64"/>
      <c r="E13" s="64"/>
      <c r="F13" s="64" t="s">
        <v>106</v>
      </c>
      <c r="G13" s="64" t="s">
        <v>387</v>
      </c>
      <c r="H13" s="67"/>
      <c r="I13" s="67"/>
      <c r="J13" s="64" t="s">
        <v>39</v>
      </c>
      <c r="K13" s="64"/>
      <c r="L13" s="64" t="s">
        <v>65</v>
      </c>
      <c r="M13" s="64"/>
      <c r="P13" s="64"/>
      <c r="Q13" s="64"/>
    </row>
    <row r="14" spans="1:19" ht="33.950000000000003" hidden="1">
      <c r="A14" s="70" t="s">
        <v>392</v>
      </c>
      <c r="B14" s="64">
        <v>0.56000000000000005</v>
      </c>
      <c r="C14" s="64">
        <v>0.49399999999999999</v>
      </c>
      <c r="D14" s="64">
        <v>0.626</v>
      </c>
      <c r="E14" s="64">
        <v>216</v>
      </c>
      <c r="F14" s="64" t="s">
        <v>106</v>
      </c>
      <c r="G14" s="64" t="s">
        <v>393</v>
      </c>
      <c r="H14" s="67"/>
      <c r="I14" s="67" t="s">
        <v>394</v>
      </c>
      <c r="J14" s="64" t="s">
        <v>39</v>
      </c>
      <c r="K14" s="64"/>
      <c r="L14" s="64" t="s">
        <v>381</v>
      </c>
      <c r="M14" s="64"/>
      <c r="P14" s="76" t="s">
        <v>911</v>
      </c>
      <c r="Q14" s="64"/>
    </row>
    <row r="15" spans="1:19" ht="84.95" hidden="1">
      <c r="A15" s="70" t="s">
        <v>392</v>
      </c>
      <c r="B15" s="64">
        <v>0.55000000000000004</v>
      </c>
      <c r="C15" s="64"/>
      <c r="D15" s="64"/>
      <c r="E15" s="64"/>
      <c r="F15" s="64" t="s">
        <v>106</v>
      </c>
      <c r="G15" s="64" t="s">
        <v>393</v>
      </c>
      <c r="H15" s="67" t="s">
        <v>915</v>
      </c>
      <c r="I15" s="67" t="s">
        <v>67</v>
      </c>
      <c r="J15" s="64" t="s">
        <v>39</v>
      </c>
      <c r="K15" s="64"/>
      <c r="L15" s="64" t="s">
        <v>61</v>
      </c>
      <c r="M15" s="64"/>
      <c r="N15" t="s">
        <v>916</v>
      </c>
      <c r="O15">
        <v>0.14699999999999999</v>
      </c>
      <c r="P15" s="75" t="s">
        <v>917</v>
      </c>
      <c r="Q15" s="64" t="s">
        <v>918</v>
      </c>
    </row>
    <row r="16" spans="1:19" ht="84.95" hidden="1">
      <c r="A16" s="70" t="s">
        <v>392</v>
      </c>
      <c r="B16" s="64">
        <v>0.74</v>
      </c>
      <c r="C16" s="64"/>
      <c r="D16" s="64"/>
      <c r="E16" s="64"/>
      <c r="F16" s="64" t="s">
        <v>106</v>
      </c>
      <c r="G16" s="64" t="s">
        <v>393</v>
      </c>
      <c r="H16" s="67" t="s">
        <v>915</v>
      </c>
      <c r="I16" s="67" t="s">
        <v>69</v>
      </c>
      <c r="J16" s="64" t="s">
        <v>39</v>
      </c>
      <c r="K16" s="64"/>
      <c r="L16" s="64" t="s">
        <v>64</v>
      </c>
      <c r="M16" s="64"/>
      <c r="N16" t="s">
        <v>916</v>
      </c>
      <c r="O16">
        <v>0.184</v>
      </c>
      <c r="P16" s="67" t="s">
        <v>917</v>
      </c>
      <c r="Q16" s="64" t="s">
        <v>918</v>
      </c>
    </row>
    <row r="17" spans="1:17" ht="84.95" hidden="1">
      <c r="A17" s="70" t="s">
        <v>392</v>
      </c>
      <c r="B17" s="64">
        <v>0.69</v>
      </c>
      <c r="C17" s="64"/>
      <c r="D17" s="64"/>
      <c r="E17" s="64"/>
      <c r="F17" s="64" t="s">
        <v>106</v>
      </c>
      <c r="G17" s="64" t="s">
        <v>393</v>
      </c>
      <c r="H17" s="67" t="s">
        <v>915</v>
      </c>
      <c r="I17" s="67" t="s">
        <v>70</v>
      </c>
      <c r="J17" s="64" t="s">
        <v>39</v>
      </c>
      <c r="K17" s="64"/>
      <c r="L17" s="64" t="s">
        <v>65</v>
      </c>
      <c r="M17" s="64"/>
      <c r="N17" t="s">
        <v>916</v>
      </c>
      <c r="O17">
        <v>0.16700000000000001</v>
      </c>
      <c r="P17" s="67" t="s">
        <v>917</v>
      </c>
      <c r="Q17" s="64" t="s">
        <v>918</v>
      </c>
    </row>
    <row r="18" spans="1:17" ht="33.950000000000003" hidden="1">
      <c r="A18" s="70" t="s">
        <v>396</v>
      </c>
      <c r="B18" s="64">
        <v>0.57199999999999995</v>
      </c>
      <c r="C18" s="64">
        <v>0.50600000000000001</v>
      </c>
      <c r="D18" s="64">
        <v>0.63800000000000001</v>
      </c>
      <c r="E18" s="64">
        <v>216</v>
      </c>
      <c r="F18" s="64" t="s">
        <v>106</v>
      </c>
      <c r="G18" s="64" t="s">
        <v>397</v>
      </c>
      <c r="H18" s="67"/>
      <c r="I18" s="67" t="s">
        <v>394</v>
      </c>
      <c r="J18" s="64" t="s">
        <v>39</v>
      </c>
      <c r="K18" s="64"/>
      <c r="L18" s="64" t="s">
        <v>381</v>
      </c>
      <c r="M18" s="64"/>
      <c r="P18" s="76" t="s">
        <v>911</v>
      </c>
      <c r="Q18" s="64"/>
    </row>
    <row r="19" spans="1:17" ht="84.95" hidden="1">
      <c r="A19" s="70" t="s">
        <v>396</v>
      </c>
      <c r="B19" s="64"/>
      <c r="C19" s="64"/>
      <c r="D19" s="64"/>
      <c r="E19" s="64"/>
      <c r="F19" s="64" t="s">
        <v>106</v>
      </c>
      <c r="G19" s="64" t="s">
        <v>397</v>
      </c>
      <c r="H19" s="67"/>
      <c r="I19" s="67"/>
      <c r="J19" s="64" t="s">
        <v>39</v>
      </c>
      <c r="K19" s="64"/>
      <c r="L19" s="64" t="s">
        <v>61</v>
      </c>
      <c r="M19" s="64"/>
      <c r="P19" s="75" t="s">
        <v>919</v>
      </c>
      <c r="Q19" s="64" t="s">
        <v>920</v>
      </c>
    </row>
    <row r="20" spans="1:17" ht="84.95" hidden="1">
      <c r="A20" s="70" t="s">
        <v>396</v>
      </c>
      <c r="B20" s="64"/>
      <c r="C20" s="64"/>
      <c r="D20" s="64"/>
      <c r="E20" s="64"/>
      <c r="F20" s="64" t="s">
        <v>106</v>
      </c>
      <c r="G20" s="64" t="s">
        <v>397</v>
      </c>
      <c r="H20" s="67"/>
      <c r="I20" s="67"/>
      <c r="J20" s="64" t="s">
        <v>39</v>
      </c>
      <c r="K20" s="64"/>
      <c r="L20" s="64" t="s">
        <v>64</v>
      </c>
      <c r="M20" s="64"/>
      <c r="P20" s="67" t="s">
        <v>919</v>
      </c>
      <c r="Q20" s="64" t="s">
        <v>920</v>
      </c>
    </row>
    <row r="21" spans="1:17" ht="84.95" hidden="1">
      <c r="A21" s="70" t="s">
        <v>396</v>
      </c>
      <c r="B21" s="64"/>
      <c r="C21" s="64"/>
      <c r="D21" s="64"/>
      <c r="E21" s="64"/>
      <c r="F21" s="64" t="s">
        <v>106</v>
      </c>
      <c r="G21" s="64" t="s">
        <v>397</v>
      </c>
      <c r="H21" s="67"/>
      <c r="I21" s="67"/>
      <c r="J21" s="64" t="s">
        <v>39</v>
      </c>
      <c r="K21" s="64"/>
      <c r="L21" s="64" t="s">
        <v>65</v>
      </c>
      <c r="M21" s="64"/>
      <c r="P21" s="67" t="s">
        <v>919</v>
      </c>
      <c r="Q21" s="64" t="s">
        <v>920</v>
      </c>
    </row>
    <row r="22" spans="1:17" ht="51" hidden="1">
      <c r="A22" s="70" t="s">
        <v>399</v>
      </c>
      <c r="B22" s="64">
        <v>0.89</v>
      </c>
      <c r="C22" s="64">
        <v>0.88600000000000001</v>
      </c>
      <c r="D22" s="64">
        <v>0.89400000000000002</v>
      </c>
      <c r="E22" s="64">
        <v>19127</v>
      </c>
      <c r="F22" s="64" t="s">
        <v>106</v>
      </c>
      <c r="G22" s="64" t="s">
        <v>400</v>
      </c>
      <c r="H22" s="67" t="s">
        <v>401</v>
      </c>
      <c r="I22" s="67" t="s">
        <v>402</v>
      </c>
      <c r="J22" s="64" t="s">
        <v>39</v>
      </c>
      <c r="K22" s="64"/>
      <c r="L22" s="64" t="s">
        <v>381</v>
      </c>
      <c r="M22" s="64"/>
      <c r="P22" s="71" t="s">
        <v>911</v>
      </c>
      <c r="Q22" s="64"/>
    </row>
    <row r="23" spans="1:17" hidden="1">
      <c r="A23" s="70" t="s">
        <v>399</v>
      </c>
      <c r="B23" s="64"/>
      <c r="C23" s="64"/>
      <c r="D23" s="64"/>
      <c r="E23" s="64"/>
      <c r="F23" s="64" t="s">
        <v>106</v>
      </c>
      <c r="G23" s="64" t="s">
        <v>400</v>
      </c>
      <c r="H23" s="67"/>
      <c r="I23" s="67"/>
      <c r="J23" s="64" t="s">
        <v>39</v>
      </c>
      <c r="K23" s="64"/>
      <c r="L23" s="64" t="s">
        <v>61</v>
      </c>
      <c r="M23" s="64"/>
      <c r="P23" s="64"/>
      <c r="Q23" s="64"/>
    </row>
    <row r="24" spans="1:17" hidden="1">
      <c r="A24" s="70" t="s">
        <v>399</v>
      </c>
      <c r="B24" s="64"/>
      <c r="C24" s="64"/>
      <c r="D24" s="64"/>
      <c r="E24" s="64"/>
      <c r="F24" s="64" t="s">
        <v>106</v>
      </c>
      <c r="G24" s="64" t="s">
        <v>400</v>
      </c>
      <c r="H24" s="67"/>
      <c r="I24" s="67"/>
      <c r="J24" s="64" t="s">
        <v>39</v>
      </c>
      <c r="K24" s="64"/>
      <c r="L24" s="64" t="s">
        <v>64</v>
      </c>
      <c r="M24" s="64"/>
      <c r="P24" s="64"/>
      <c r="Q24" s="64"/>
    </row>
    <row r="25" spans="1:17" hidden="1">
      <c r="A25" s="70" t="s">
        <v>399</v>
      </c>
      <c r="B25" s="64"/>
      <c r="C25" s="64"/>
      <c r="D25" s="64"/>
      <c r="E25" s="64"/>
      <c r="F25" s="64" t="s">
        <v>106</v>
      </c>
      <c r="G25" s="64" t="s">
        <v>400</v>
      </c>
      <c r="H25" s="67"/>
      <c r="I25" s="67"/>
      <c r="J25" s="64" t="s">
        <v>39</v>
      </c>
      <c r="K25" s="64"/>
      <c r="L25" s="64" t="s">
        <v>65</v>
      </c>
      <c r="M25" s="64"/>
      <c r="P25" s="64"/>
      <c r="Q25" s="64"/>
    </row>
    <row r="26" spans="1:17" ht="51" hidden="1">
      <c r="A26" s="70" t="s">
        <v>404</v>
      </c>
      <c r="B26" s="64">
        <v>0.54</v>
      </c>
      <c r="C26" s="64">
        <v>0.41899999999999998</v>
      </c>
      <c r="D26" s="64">
        <v>0.66100000000000003</v>
      </c>
      <c r="E26" s="64">
        <v>65</v>
      </c>
      <c r="F26" s="64" t="s">
        <v>106</v>
      </c>
      <c r="G26" s="64" t="s">
        <v>405</v>
      </c>
      <c r="H26" s="67" t="s">
        <v>401</v>
      </c>
      <c r="I26" s="67" t="s">
        <v>406</v>
      </c>
      <c r="J26" s="64" t="s">
        <v>39</v>
      </c>
      <c r="K26" s="64"/>
      <c r="L26" s="64" t="s">
        <v>381</v>
      </c>
      <c r="M26" s="64"/>
      <c r="P26" s="71" t="s">
        <v>911</v>
      </c>
      <c r="Q26" s="64"/>
    </row>
    <row r="27" spans="1:17" ht="84.95" hidden="1">
      <c r="A27" s="70" t="s">
        <v>404</v>
      </c>
      <c r="B27" s="64"/>
      <c r="C27" s="64"/>
      <c r="D27" s="64"/>
      <c r="E27" s="64"/>
      <c r="F27" s="64" t="s">
        <v>106</v>
      </c>
      <c r="G27" s="64" t="s">
        <v>405</v>
      </c>
      <c r="H27" s="67"/>
      <c r="I27" s="67" t="s">
        <v>68</v>
      </c>
      <c r="J27" s="64" t="s">
        <v>39</v>
      </c>
      <c r="K27" s="64"/>
      <c r="L27" s="64" t="s">
        <v>61</v>
      </c>
      <c r="M27" s="64"/>
      <c r="P27" s="64"/>
      <c r="Q27" s="64"/>
    </row>
    <row r="28" spans="1:17" ht="84.95" hidden="1">
      <c r="A28" s="70" t="s">
        <v>404</v>
      </c>
      <c r="B28" s="64"/>
      <c r="C28" s="64"/>
      <c r="D28" s="64"/>
      <c r="E28" s="64"/>
      <c r="F28" s="64" t="s">
        <v>106</v>
      </c>
      <c r="G28" s="64" t="s">
        <v>405</v>
      </c>
      <c r="H28" s="67"/>
      <c r="I28" s="67" t="s">
        <v>68</v>
      </c>
      <c r="J28" s="64" t="s">
        <v>39</v>
      </c>
      <c r="K28" s="64"/>
      <c r="L28" s="64" t="s">
        <v>64</v>
      </c>
      <c r="M28" s="64"/>
      <c r="P28" s="64"/>
      <c r="Q28" s="64"/>
    </row>
    <row r="29" spans="1:17" ht="84.95" hidden="1">
      <c r="A29" s="70" t="s">
        <v>404</v>
      </c>
      <c r="B29" s="64"/>
      <c r="C29" s="64"/>
      <c r="D29" s="64"/>
      <c r="E29" s="64"/>
      <c r="F29" s="64" t="s">
        <v>106</v>
      </c>
      <c r="G29" s="64" t="s">
        <v>405</v>
      </c>
      <c r="H29" s="67"/>
      <c r="I29" s="67" t="s">
        <v>68</v>
      </c>
      <c r="J29" s="64" t="s">
        <v>39</v>
      </c>
      <c r="K29" s="64"/>
      <c r="L29" s="64" t="s">
        <v>65</v>
      </c>
      <c r="M29" s="64"/>
      <c r="P29" s="64"/>
      <c r="Q29" s="64"/>
    </row>
    <row r="30" spans="1:17" ht="51" hidden="1">
      <c r="A30" s="70" t="s">
        <v>409</v>
      </c>
      <c r="B30" s="64">
        <v>0.6</v>
      </c>
      <c r="C30" s="64">
        <v>0.496</v>
      </c>
      <c r="D30" s="64">
        <v>0.70399999999999996</v>
      </c>
      <c r="E30" s="64">
        <v>86</v>
      </c>
      <c r="F30" s="64" t="s">
        <v>106</v>
      </c>
      <c r="G30" s="64" t="s">
        <v>410</v>
      </c>
      <c r="H30" s="67" t="s">
        <v>401</v>
      </c>
      <c r="I30" s="67" t="s">
        <v>406</v>
      </c>
      <c r="J30" s="64" t="s">
        <v>39</v>
      </c>
      <c r="K30" s="64"/>
      <c r="L30" s="64" t="s">
        <v>381</v>
      </c>
      <c r="M30" s="64"/>
      <c r="P30" s="71" t="s">
        <v>911</v>
      </c>
      <c r="Q30" s="64"/>
    </row>
    <row r="31" spans="1:17" ht="84.95" hidden="1">
      <c r="A31" s="70" t="s">
        <v>409</v>
      </c>
      <c r="B31" s="64"/>
      <c r="C31" s="64"/>
      <c r="D31" s="64"/>
      <c r="E31" s="64"/>
      <c r="F31" s="64" t="s">
        <v>106</v>
      </c>
      <c r="G31" s="64" t="s">
        <v>410</v>
      </c>
      <c r="H31" s="67"/>
      <c r="I31" s="67" t="s">
        <v>68</v>
      </c>
      <c r="J31" s="64" t="s">
        <v>39</v>
      </c>
      <c r="K31" s="64"/>
      <c r="L31" s="64" t="s">
        <v>61</v>
      </c>
      <c r="M31" s="64"/>
      <c r="P31" s="64"/>
      <c r="Q31" s="64"/>
    </row>
    <row r="32" spans="1:17" ht="84.95" hidden="1">
      <c r="A32" s="70" t="s">
        <v>409</v>
      </c>
      <c r="B32" s="64"/>
      <c r="C32" s="64"/>
      <c r="D32" s="64"/>
      <c r="E32" s="64"/>
      <c r="F32" s="64" t="s">
        <v>106</v>
      </c>
      <c r="G32" s="64" t="s">
        <v>410</v>
      </c>
      <c r="H32" s="67"/>
      <c r="I32" s="67" t="s">
        <v>68</v>
      </c>
      <c r="J32" s="64" t="s">
        <v>39</v>
      </c>
      <c r="K32" s="64"/>
      <c r="L32" s="64" t="s">
        <v>64</v>
      </c>
      <c r="M32" s="64"/>
      <c r="P32" s="64"/>
      <c r="Q32" s="64"/>
    </row>
    <row r="33" spans="1:17" ht="84.95" hidden="1">
      <c r="A33" s="70" t="s">
        <v>409</v>
      </c>
      <c r="B33" s="64"/>
      <c r="C33" s="64"/>
      <c r="D33" s="64"/>
      <c r="E33" s="64"/>
      <c r="F33" s="64" t="s">
        <v>106</v>
      </c>
      <c r="G33" s="64" t="s">
        <v>410</v>
      </c>
      <c r="H33" s="67"/>
      <c r="I33" s="67" t="s">
        <v>68</v>
      </c>
      <c r="J33" s="64" t="s">
        <v>39</v>
      </c>
      <c r="K33" s="64"/>
      <c r="L33" s="64" t="s">
        <v>65</v>
      </c>
      <c r="M33" s="64"/>
      <c r="P33" s="64"/>
      <c r="Q33" s="64"/>
    </row>
    <row r="34" spans="1:17" ht="51" hidden="1">
      <c r="A34" s="70" t="s">
        <v>411</v>
      </c>
      <c r="B34" s="64">
        <v>2898.08</v>
      </c>
      <c r="C34" s="64"/>
      <c r="D34" s="64"/>
      <c r="E34" s="64"/>
      <c r="F34" s="64" t="s">
        <v>223</v>
      </c>
      <c r="G34" s="64" t="s">
        <v>412</v>
      </c>
      <c r="H34" s="67" t="s">
        <v>401</v>
      </c>
      <c r="I34" s="67" t="s">
        <v>406</v>
      </c>
      <c r="J34" s="64" t="s">
        <v>39</v>
      </c>
      <c r="K34" s="64"/>
      <c r="L34" s="64" t="s">
        <v>381</v>
      </c>
      <c r="M34" s="64"/>
      <c r="P34" s="71" t="s">
        <v>911</v>
      </c>
      <c r="Q34" s="64"/>
    </row>
    <row r="35" spans="1:17" hidden="1">
      <c r="A35" s="70" t="s">
        <v>411</v>
      </c>
      <c r="B35" s="64"/>
      <c r="C35" s="64"/>
      <c r="D35" s="64"/>
      <c r="E35" s="64"/>
      <c r="F35" s="64" t="s">
        <v>223</v>
      </c>
      <c r="G35" s="64" t="s">
        <v>413</v>
      </c>
      <c r="H35" s="67"/>
      <c r="I35" s="67"/>
      <c r="J35" s="64" t="s">
        <v>39</v>
      </c>
      <c r="K35" s="64"/>
      <c r="L35" s="64" t="s">
        <v>61</v>
      </c>
      <c r="M35" s="64"/>
      <c r="P35" s="64"/>
      <c r="Q35" s="64"/>
    </row>
    <row r="36" spans="1:17" hidden="1">
      <c r="A36" s="70" t="s">
        <v>411</v>
      </c>
      <c r="B36" s="64"/>
      <c r="C36" s="64"/>
      <c r="D36" s="64"/>
      <c r="E36" s="64"/>
      <c r="F36" s="64" t="s">
        <v>223</v>
      </c>
      <c r="G36" s="64" t="s">
        <v>413</v>
      </c>
      <c r="H36" s="67"/>
      <c r="I36" s="67"/>
      <c r="J36" s="64" t="s">
        <v>39</v>
      </c>
      <c r="K36" s="64"/>
      <c r="L36" s="64" t="s">
        <v>64</v>
      </c>
      <c r="M36" s="64"/>
      <c r="P36" s="64"/>
      <c r="Q36" s="64"/>
    </row>
    <row r="37" spans="1:17" hidden="1">
      <c r="A37" s="70" t="s">
        <v>411</v>
      </c>
      <c r="B37" s="64"/>
      <c r="C37" s="64"/>
      <c r="D37" s="64"/>
      <c r="E37" s="64"/>
      <c r="F37" s="64" t="s">
        <v>223</v>
      </c>
      <c r="G37" s="64" t="s">
        <v>413</v>
      </c>
      <c r="H37" s="67"/>
      <c r="I37" s="67"/>
      <c r="J37" s="64" t="s">
        <v>39</v>
      </c>
      <c r="K37" s="64"/>
      <c r="L37" s="64" t="s">
        <v>65</v>
      </c>
      <c r="M37" s="64"/>
      <c r="P37" s="64"/>
      <c r="Q37" s="64"/>
    </row>
    <row r="38" spans="1:17" ht="84.95" hidden="1">
      <c r="A38" s="70" t="s">
        <v>414</v>
      </c>
      <c r="B38" s="64">
        <v>0.70599999999999996</v>
      </c>
      <c r="C38" s="64"/>
      <c r="D38" s="64"/>
      <c r="E38" s="64"/>
      <c r="F38" s="64"/>
      <c r="G38" s="64" t="s">
        <v>415</v>
      </c>
      <c r="H38" s="67"/>
      <c r="I38" s="67" t="s">
        <v>416</v>
      </c>
      <c r="J38" s="64" t="s">
        <v>60</v>
      </c>
      <c r="K38" s="64"/>
      <c r="L38" s="64" t="s">
        <v>381</v>
      </c>
      <c r="M38" s="64"/>
      <c r="P38" s="71" t="s">
        <v>911</v>
      </c>
      <c r="Q38" s="64"/>
    </row>
    <row r="39" spans="1:17" hidden="1">
      <c r="A39" s="70" t="s">
        <v>414</v>
      </c>
      <c r="B39" s="64"/>
      <c r="C39" s="64"/>
      <c r="D39" s="64"/>
      <c r="E39" s="64"/>
      <c r="F39" s="64"/>
      <c r="G39" s="64" t="s">
        <v>415</v>
      </c>
      <c r="H39" s="67"/>
      <c r="I39" s="67"/>
      <c r="J39" s="64" t="s">
        <v>60</v>
      </c>
      <c r="K39" s="64"/>
      <c r="L39" s="64" t="s">
        <v>61</v>
      </c>
      <c r="M39" s="64"/>
      <c r="P39" s="64" t="s">
        <v>921</v>
      </c>
      <c r="Q39" s="64"/>
    </row>
    <row r="40" spans="1:17" hidden="1">
      <c r="A40" s="70" t="s">
        <v>414</v>
      </c>
      <c r="B40" s="64"/>
      <c r="C40" s="64"/>
      <c r="D40" s="64"/>
      <c r="E40" s="64"/>
      <c r="F40" s="64"/>
      <c r="G40" s="64" t="s">
        <v>415</v>
      </c>
      <c r="H40" s="67"/>
      <c r="I40" s="67"/>
      <c r="J40" s="64" t="s">
        <v>60</v>
      </c>
      <c r="K40" s="64"/>
      <c r="L40" s="64" t="s">
        <v>64</v>
      </c>
      <c r="M40" s="64"/>
      <c r="P40" s="77" t="s">
        <v>921</v>
      </c>
      <c r="Q40" s="64"/>
    </row>
    <row r="41" spans="1:17" hidden="1">
      <c r="A41" s="70" t="s">
        <v>414</v>
      </c>
      <c r="B41" s="64"/>
      <c r="C41" s="64"/>
      <c r="D41" s="64"/>
      <c r="E41" s="64"/>
      <c r="F41" s="64"/>
      <c r="G41" s="64" t="s">
        <v>415</v>
      </c>
      <c r="H41" s="67"/>
      <c r="I41" s="67"/>
      <c r="J41" s="64" t="s">
        <v>60</v>
      </c>
      <c r="K41" s="64"/>
      <c r="L41" s="64" t="s">
        <v>65</v>
      </c>
      <c r="M41" s="64"/>
      <c r="P41" s="64" t="s">
        <v>921</v>
      </c>
      <c r="Q41" s="64"/>
    </row>
    <row r="42" spans="1:17" ht="84.95" hidden="1">
      <c r="A42" s="70" t="s">
        <v>417</v>
      </c>
      <c r="B42" s="64">
        <v>0.11</v>
      </c>
      <c r="C42" s="64"/>
      <c r="D42" s="64"/>
      <c r="E42" s="64"/>
      <c r="F42" s="64"/>
      <c r="G42" s="64" t="s">
        <v>418</v>
      </c>
      <c r="H42" s="67"/>
      <c r="I42" s="67" t="s">
        <v>416</v>
      </c>
      <c r="J42" s="64" t="s">
        <v>60</v>
      </c>
      <c r="K42" s="64"/>
      <c r="L42" s="64" t="s">
        <v>381</v>
      </c>
      <c r="M42" s="64"/>
      <c r="P42" s="71" t="s">
        <v>911</v>
      </c>
      <c r="Q42" s="64"/>
    </row>
    <row r="43" spans="1:17" hidden="1">
      <c r="A43" s="70" t="s">
        <v>417</v>
      </c>
      <c r="B43" s="64"/>
      <c r="C43" s="64"/>
      <c r="D43" s="64"/>
      <c r="E43" s="64"/>
      <c r="F43" s="64"/>
      <c r="G43" s="64" t="s">
        <v>418</v>
      </c>
      <c r="H43" s="67"/>
      <c r="I43" s="67"/>
      <c r="J43" s="64" t="s">
        <v>60</v>
      </c>
      <c r="K43" s="64"/>
      <c r="L43" s="64" t="s">
        <v>61</v>
      </c>
      <c r="M43" s="64"/>
      <c r="P43" s="64" t="s">
        <v>921</v>
      </c>
      <c r="Q43" s="64"/>
    </row>
    <row r="44" spans="1:17" hidden="1">
      <c r="A44" s="70" t="s">
        <v>417</v>
      </c>
      <c r="B44" s="64"/>
      <c r="C44" s="64"/>
      <c r="D44" s="64"/>
      <c r="E44" s="64"/>
      <c r="F44" s="64"/>
      <c r="G44" s="64" t="s">
        <v>418</v>
      </c>
      <c r="H44" s="67"/>
      <c r="I44" s="67"/>
      <c r="J44" s="64" t="s">
        <v>60</v>
      </c>
      <c r="K44" s="64"/>
      <c r="L44" s="64" t="s">
        <v>64</v>
      </c>
      <c r="M44" s="64"/>
      <c r="P44" s="64" t="s">
        <v>921</v>
      </c>
      <c r="Q44" s="64"/>
    </row>
    <row r="45" spans="1:17" hidden="1">
      <c r="A45" s="70" t="s">
        <v>417</v>
      </c>
      <c r="B45" s="64"/>
      <c r="C45" s="64"/>
      <c r="D45" s="64"/>
      <c r="E45" s="64"/>
      <c r="F45" s="64"/>
      <c r="G45" s="64" t="s">
        <v>418</v>
      </c>
      <c r="H45" s="67"/>
      <c r="I45" s="67"/>
      <c r="J45" s="64" t="s">
        <v>60</v>
      </c>
      <c r="K45" s="64"/>
      <c r="L45" s="64" t="s">
        <v>65</v>
      </c>
      <c r="M45" s="64"/>
      <c r="P45" s="64" t="s">
        <v>921</v>
      </c>
      <c r="Q45" s="64"/>
    </row>
    <row r="46" spans="1:17" ht="84.95" hidden="1">
      <c r="A46" s="70" t="s">
        <v>419</v>
      </c>
      <c r="B46" s="64">
        <v>0.16919999999999999</v>
      </c>
      <c r="C46" s="64"/>
      <c r="D46" s="64"/>
      <c r="E46" s="64"/>
      <c r="F46" s="64"/>
      <c r="G46" s="64" t="s">
        <v>420</v>
      </c>
      <c r="H46" s="67"/>
      <c r="I46" s="67" t="s">
        <v>416</v>
      </c>
      <c r="J46" s="64" t="s">
        <v>60</v>
      </c>
      <c r="K46" s="64"/>
      <c r="L46" s="64" t="s">
        <v>381</v>
      </c>
      <c r="M46" s="64"/>
      <c r="P46" s="71" t="s">
        <v>911</v>
      </c>
      <c r="Q46" s="64"/>
    </row>
    <row r="47" spans="1:17" hidden="1">
      <c r="A47" s="70" t="s">
        <v>419</v>
      </c>
      <c r="B47" s="64"/>
      <c r="C47" s="64"/>
      <c r="D47" s="64"/>
      <c r="E47" s="64"/>
      <c r="F47" s="64"/>
      <c r="G47" s="64" t="s">
        <v>420</v>
      </c>
      <c r="H47" s="67"/>
      <c r="I47" s="67"/>
      <c r="J47" s="64" t="s">
        <v>60</v>
      </c>
      <c r="K47" s="64"/>
      <c r="L47" s="64" t="s">
        <v>61</v>
      </c>
      <c r="M47" s="64"/>
      <c r="P47" s="64" t="s">
        <v>921</v>
      </c>
      <c r="Q47" s="64"/>
    </row>
    <row r="48" spans="1:17" hidden="1">
      <c r="A48" s="70" t="s">
        <v>419</v>
      </c>
      <c r="B48" s="64"/>
      <c r="C48" s="64"/>
      <c r="D48" s="64"/>
      <c r="E48" s="64"/>
      <c r="F48" s="64"/>
      <c r="G48" s="64" t="s">
        <v>420</v>
      </c>
      <c r="H48" s="67"/>
      <c r="I48" s="67"/>
      <c r="J48" s="64" t="s">
        <v>60</v>
      </c>
      <c r="K48" s="64"/>
      <c r="L48" s="64" t="s">
        <v>64</v>
      </c>
      <c r="M48" s="64"/>
      <c r="P48" s="64" t="s">
        <v>921</v>
      </c>
      <c r="Q48" s="64"/>
    </row>
    <row r="49" spans="1:17" hidden="1">
      <c r="A49" s="70" t="s">
        <v>419</v>
      </c>
      <c r="B49" s="64"/>
      <c r="C49" s="64"/>
      <c r="D49" s="64"/>
      <c r="E49" s="64"/>
      <c r="F49" s="64"/>
      <c r="G49" s="64" t="s">
        <v>420</v>
      </c>
      <c r="H49" s="67"/>
      <c r="I49" s="67"/>
      <c r="J49" s="64" t="s">
        <v>60</v>
      </c>
      <c r="K49" s="64"/>
      <c r="L49" s="64" t="s">
        <v>65</v>
      </c>
      <c r="M49" s="64"/>
      <c r="P49" s="64" t="s">
        <v>921</v>
      </c>
      <c r="Q49" s="64"/>
    </row>
    <row r="50" spans="1:17" ht="84.95" hidden="1">
      <c r="A50" s="70" t="s">
        <v>421</v>
      </c>
      <c r="B50" s="64">
        <v>0.32550000000000001</v>
      </c>
      <c r="C50" s="64"/>
      <c r="D50" s="64"/>
      <c r="E50" s="64"/>
      <c r="F50" s="64"/>
      <c r="G50" s="64" t="s">
        <v>422</v>
      </c>
      <c r="H50" s="67"/>
      <c r="I50" s="67" t="s">
        <v>416</v>
      </c>
      <c r="J50" s="64" t="s">
        <v>60</v>
      </c>
      <c r="K50" s="64"/>
      <c r="L50" s="64" t="s">
        <v>381</v>
      </c>
      <c r="M50" s="64"/>
      <c r="P50" s="71" t="s">
        <v>911</v>
      </c>
      <c r="Q50" s="64"/>
    </row>
    <row r="51" spans="1:17" hidden="1">
      <c r="A51" s="70" t="s">
        <v>421</v>
      </c>
      <c r="B51" s="64"/>
      <c r="C51" s="64"/>
      <c r="D51" s="64"/>
      <c r="E51" s="64"/>
      <c r="F51" s="64"/>
      <c r="G51" s="64" t="s">
        <v>422</v>
      </c>
      <c r="H51" s="67"/>
      <c r="I51" s="67"/>
      <c r="J51" s="64" t="s">
        <v>60</v>
      </c>
      <c r="K51" s="64"/>
      <c r="L51" s="64" t="s">
        <v>61</v>
      </c>
      <c r="M51" s="64"/>
      <c r="P51" s="64" t="s">
        <v>921</v>
      </c>
      <c r="Q51" s="64"/>
    </row>
    <row r="52" spans="1:17" hidden="1">
      <c r="A52" s="70" t="s">
        <v>421</v>
      </c>
      <c r="B52" s="64"/>
      <c r="C52" s="64"/>
      <c r="D52" s="64"/>
      <c r="E52" s="64"/>
      <c r="F52" s="64"/>
      <c r="G52" s="64" t="s">
        <v>422</v>
      </c>
      <c r="H52" s="67"/>
      <c r="I52" s="67"/>
      <c r="J52" s="64" t="s">
        <v>60</v>
      </c>
      <c r="K52" s="64"/>
      <c r="L52" s="64" t="s">
        <v>64</v>
      </c>
      <c r="M52" s="64"/>
      <c r="P52" s="64" t="s">
        <v>921</v>
      </c>
      <c r="Q52" s="64"/>
    </row>
    <row r="53" spans="1:17" hidden="1">
      <c r="A53" s="70" t="s">
        <v>421</v>
      </c>
      <c r="B53" s="64"/>
      <c r="C53" s="64"/>
      <c r="D53" s="64"/>
      <c r="E53" s="64"/>
      <c r="F53" s="64"/>
      <c r="G53" s="64" t="s">
        <v>422</v>
      </c>
      <c r="H53" s="67"/>
      <c r="I53" s="67"/>
      <c r="J53" s="64" t="s">
        <v>60</v>
      </c>
      <c r="K53" s="64"/>
      <c r="L53" s="64" t="s">
        <v>65</v>
      </c>
      <c r="M53" s="64"/>
      <c r="P53" s="64" t="s">
        <v>921</v>
      </c>
      <c r="Q53" s="64"/>
    </row>
    <row r="54" spans="1:17" ht="84.95" hidden="1">
      <c r="A54" s="70" t="s">
        <v>423</v>
      </c>
      <c r="B54" s="64">
        <v>0.7641</v>
      </c>
      <c r="C54" s="64"/>
      <c r="D54" s="64"/>
      <c r="E54" s="64"/>
      <c r="F54" s="64"/>
      <c r="G54" s="64" t="s">
        <v>424</v>
      </c>
      <c r="H54" s="67"/>
      <c r="I54" s="67" t="s">
        <v>416</v>
      </c>
      <c r="J54" s="64" t="s">
        <v>60</v>
      </c>
      <c r="K54" s="64"/>
      <c r="L54" s="64" t="s">
        <v>381</v>
      </c>
      <c r="M54" s="64"/>
      <c r="P54" s="71" t="s">
        <v>911</v>
      </c>
      <c r="Q54" s="64"/>
    </row>
    <row r="55" spans="1:17" hidden="1">
      <c r="A55" s="70" t="s">
        <v>423</v>
      </c>
      <c r="B55" s="64"/>
      <c r="C55" s="64"/>
      <c r="D55" s="64"/>
      <c r="E55" s="64"/>
      <c r="F55" s="64"/>
      <c r="G55" s="64" t="s">
        <v>424</v>
      </c>
      <c r="H55" s="67"/>
      <c r="I55" s="67"/>
      <c r="J55" s="64" t="s">
        <v>60</v>
      </c>
      <c r="K55" s="64"/>
      <c r="L55" s="64" t="s">
        <v>61</v>
      </c>
      <c r="M55" s="64"/>
      <c r="P55" s="64" t="s">
        <v>921</v>
      </c>
      <c r="Q55" s="64"/>
    </row>
    <row r="56" spans="1:17" hidden="1">
      <c r="A56" s="70" t="s">
        <v>423</v>
      </c>
      <c r="B56" s="64"/>
      <c r="C56" s="64"/>
      <c r="D56" s="64"/>
      <c r="E56" s="64"/>
      <c r="F56" s="64"/>
      <c r="G56" s="64" t="s">
        <v>424</v>
      </c>
      <c r="H56" s="67"/>
      <c r="I56" s="67"/>
      <c r="J56" s="64" t="s">
        <v>60</v>
      </c>
      <c r="K56" s="64"/>
      <c r="L56" s="64" t="s">
        <v>64</v>
      </c>
      <c r="M56" s="64"/>
      <c r="P56" s="64" t="s">
        <v>921</v>
      </c>
      <c r="Q56" s="64"/>
    </row>
    <row r="57" spans="1:17" hidden="1">
      <c r="A57" s="70" t="s">
        <v>423</v>
      </c>
      <c r="B57" s="64"/>
      <c r="C57" s="64"/>
      <c r="D57" s="64"/>
      <c r="E57" s="64"/>
      <c r="F57" s="64"/>
      <c r="G57" s="64" t="s">
        <v>424</v>
      </c>
      <c r="H57" s="67"/>
      <c r="I57" s="67"/>
      <c r="J57" s="64" t="s">
        <v>60</v>
      </c>
      <c r="K57" s="64"/>
      <c r="L57" s="64" t="s">
        <v>65</v>
      </c>
      <c r="M57" s="64"/>
      <c r="P57" s="64" t="s">
        <v>921</v>
      </c>
      <c r="Q57" s="64"/>
    </row>
    <row r="58" spans="1:17" ht="84.95" hidden="1">
      <c r="A58" s="70" t="s">
        <v>425</v>
      </c>
      <c r="B58" s="64">
        <v>0.63060000000000005</v>
      </c>
      <c r="C58" s="64"/>
      <c r="D58" s="64"/>
      <c r="E58" s="64"/>
      <c r="F58" s="64"/>
      <c r="G58" s="64" t="s">
        <v>426</v>
      </c>
      <c r="H58" s="67"/>
      <c r="I58" s="67" t="s">
        <v>416</v>
      </c>
      <c r="J58" s="64" t="s">
        <v>60</v>
      </c>
      <c r="K58" s="64"/>
      <c r="L58" s="64" t="s">
        <v>381</v>
      </c>
      <c r="M58" s="64"/>
      <c r="P58" s="71" t="s">
        <v>911</v>
      </c>
      <c r="Q58" s="64"/>
    </row>
    <row r="59" spans="1:17" hidden="1">
      <c r="A59" s="70" t="s">
        <v>425</v>
      </c>
      <c r="B59" s="64"/>
      <c r="C59" s="64"/>
      <c r="D59" s="64"/>
      <c r="E59" s="64"/>
      <c r="F59" s="64"/>
      <c r="G59" s="64" t="s">
        <v>426</v>
      </c>
      <c r="H59" s="67"/>
      <c r="I59" s="67"/>
      <c r="J59" s="64" t="s">
        <v>60</v>
      </c>
      <c r="K59" s="64"/>
      <c r="L59" s="64" t="s">
        <v>61</v>
      </c>
      <c r="M59" s="64"/>
      <c r="P59" s="64" t="s">
        <v>921</v>
      </c>
      <c r="Q59" s="64"/>
    </row>
    <row r="60" spans="1:17" hidden="1">
      <c r="A60" s="70" t="s">
        <v>425</v>
      </c>
      <c r="B60" s="64"/>
      <c r="C60" s="64"/>
      <c r="D60" s="64"/>
      <c r="E60" s="64"/>
      <c r="F60" s="64"/>
      <c r="G60" s="64" t="s">
        <v>426</v>
      </c>
      <c r="H60" s="67"/>
      <c r="I60" s="67"/>
      <c r="J60" s="64" t="s">
        <v>60</v>
      </c>
      <c r="K60" s="64"/>
      <c r="L60" s="64" t="s">
        <v>64</v>
      </c>
      <c r="M60" s="64"/>
      <c r="P60" s="64" t="s">
        <v>921</v>
      </c>
      <c r="Q60" s="64"/>
    </row>
    <row r="61" spans="1:17" hidden="1">
      <c r="A61" s="70" t="s">
        <v>425</v>
      </c>
      <c r="B61" s="64"/>
      <c r="C61" s="64"/>
      <c r="D61" s="64"/>
      <c r="E61" s="64"/>
      <c r="F61" s="64"/>
      <c r="G61" s="64" t="s">
        <v>426</v>
      </c>
      <c r="H61" s="67"/>
      <c r="I61" s="67"/>
      <c r="J61" s="64" t="s">
        <v>60</v>
      </c>
      <c r="K61" s="64"/>
      <c r="L61" s="64" t="s">
        <v>65</v>
      </c>
      <c r="M61" s="64"/>
      <c r="P61" s="64" t="s">
        <v>921</v>
      </c>
      <c r="Q61" s="64"/>
    </row>
    <row r="62" spans="1:17" ht="68.099999999999994" hidden="1">
      <c r="A62" s="70" t="s">
        <v>427</v>
      </c>
      <c r="B62" s="64">
        <v>0.82509999999999994</v>
      </c>
      <c r="C62" s="64"/>
      <c r="D62" s="64"/>
      <c r="E62" s="64"/>
      <c r="F62" s="64"/>
      <c r="G62" s="64" t="s">
        <v>428</v>
      </c>
      <c r="H62" s="67"/>
      <c r="I62" s="67" t="s">
        <v>429</v>
      </c>
      <c r="J62" s="64" t="s">
        <v>60</v>
      </c>
      <c r="K62" s="64"/>
      <c r="L62" s="64" t="s">
        <v>381</v>
      </c>
      <c r="M62" s="64"/>
      <c r="P62" s="71" t="s">
        <v>911</v>
      </c>
      <c r="Q62" s="64"/>
    </row>
    <row r="63" spans="1:17" hidden="1">
      <c r="A63" s="70" t="s">
        <v>427</v>
      </c>
      <c r="B63" s="64"/>
      <c r="C63" s="64"/>
      <c r="D63" s="64"/>
      <c r="E63" s="64"/>
      <c r="F63" s="64"/>
      <c r="G63" s="64" t="s">
        <v>428</v>
      </c>
      <c r="H63" s="67"/>
      <c r="I63" s="67"/>
      <c r="J63" s="64" t="s">
        <v>60</v>
      </c>
      <c r="K63" s="64"/>
      <c r="L63" s="64" t="s">
        <v>61</v>
      </c>
      <c r="M63" s="64"/>
      <c r="P63" s="64" t="s">
        <v>921</v>
      </c>
      <c r="Q63" s="64"/>
    </row>
    <row r="64" spans="1:17" hidden="1">
      <c r="A64" s="70" t="s">
        <v>427</v>
      </c>
      <c r="B64" s="64"/>
      <c r="C64" s="64"/>
      <c r="D64" s="64"/>
      <c r="E64" s="64"/>
      <c r="F64" s="64"/>
      <c r="G64" s="64" t="s">
        <v>428</v>
      </c>
      <c r="H64" s="67"/>
      <c r="I64" s="67"/>
      <c r="J64" s="64" t="s">
        <v>60</v>
      </c>
      <c r="K64" s="64"/>
      <c r="L64" s="64" t="s">
        <v>64</v>
      </c>
      <c r="M64" s="64"/>
      <c r="P64" s="64" t="s">
        <v>921</v>
      </c>
      <c r="Q64" s="64"/>
    </row>
    <row r="65" spans="1:17" hidden="1">
      <c r="A65" s="70" t="s">
        <v>427</v>
      </c>
      <c r="B65" s="64"/>
      <c r="C65" s="64"/>
      <c r="D65" s="64"/>
      <c r="E65" s="64"/>
      <c r="F65" s="64"/>
      <c r="G65" s="64" t="s">
        <v>428</v>
      </c>
      <c r="H65" s="67"/>
      <c r="I65" s="67"/>
      <c r="J65" s="64" t="s">
        <v>60</v>
      </c>
      <c r="K65" s="64"/>
      <c r="L65" s="64" t="s">
        <v>65</v>
      </c>
      <c r="M65" s="64"/>
      <c r="P65" s="64" t="s">
        <v>921</v>
      </c>
      <c r="Q65" s="64"/>
    </row>
    <row r="66" spans="1:17" ht="84.95" hidden="1">
      <c r="A66" s="70" t="s">
        <v>430</v>
      </c>
      <c r="B66" s="64">
        <v>6.4199999999999993E-2</v>
      </c>
      <c r="C66" s="64"/>
      <c r="D66" s="64"/>
      <c r="E66" s="64"/>
      <c r="F66" s="64"/>
      <c r="G66" s="64" t="s">
        <v>431</v>
      </c>
      <c r="H66" s="67"/>
      <c r="I66" s="67" t="s">
        <v>432</v>
      </c>
      <c r="J66" s="64" t="s">
        <v>60</v>
      </c>
      <c r="K66" s="64"/>
      <c r="L66" s="64" t="s">
        <v>381</v>
      </c>
      <c r="M66" s="64"/>
      <c r="P66" s="71" t="s">
        <v>911</v>
      </c>
      <c r="Q66" s="64"/>
    </row>
    <row r="67" spans="1:17" hidden="1">
      <c r="A67" s="70" t="s">
        <v>430</v>
      </c>
      <c r="B67" s="64"/>
      <c r="C67" s="64"/>
      <c r="D67" s="64"/>
      <c r="E67" s="64"/>
      <c r="F67" s="64"/>
      <c r="G67" s="64" t="s">
        <v>431</v>
      </c>
      <c r="H67" s="67"/>
      <c r="I67" s="67"/>
      <c r="J67" s="64" t="s">
        <v>60</v>
      </c>
      <c r="K67" s="64"/>
      <c r="L67" s="64" t="s">
        <v>61</v>
      </c>
      <c r="M67" s="64"/>
      <c r="P67" s="64" t="s">
        <v>921</v>
      </c>
      <c r="Q67" s="64"/>
    </row>
    <row r="68" spans="1:17" hidden="1">
      <c r="A68" s="70" t="s">
        <v>430</v>
      </c>
      <c r="B68" s="64"/>
      <c r="C68" s="64"/>
      <c r="D68" s="64"/>
      <c r="E68" s="64"/>
      <c r="F68" s="64"/>
      <c r="G68" s="64" t="s">
        <v>431</v>
      </c>
      <c r="H68" s="67"/>
      <c r="I68" s="67"/>
      <c r="J68" s="64" t="s">
        <v>60</v>
      </c>
      <c r="K68" s="64"/>
      <c r="L68" s="64" t="s">
        <v>64</v>
      </c>
      <c r="M68" s="64"/>
      <c r="P68" s="64" t="s">
        <v>921</v>
      </c>
      <c r="Q68" s="64"/>
    </row>
    <row r="69" spans="1:17" hidden="1">
      <c r="A69" s="70" t="s">
        <v>430</v>
      </c>
      <c r="B69" s="64"/>
      <c r="C69" s="64"/>
      <c r="D69" s="64"/>
      <c r="E69" s="64"/>
      <c r="F69" s="64"/>
      <c r="G69" s="64" t="s">
        <v>431</v>
      </c>
      <c r="H69" s="67"/>
      <c r="I69" s="67"/>
      <c r="J69" s="64" t="s">
        <v>60</v>
      </c>
      <c r="K69" s="64"/>
      <c r="L69" s="64" t="s">
        <v>65</v>
      </c>
      <c r="M69" s="64"/>
      <c r="P69" s="64" t="s">
        <v>921</v>
      </c>
      <c r="Q69" s="64"/>
    </row>
    <row r="70" spans="1:17" ht="409.6" hidden="1">
      <c r="A70" s="70" t="s">
        <v>433</v>
      </c>
      <c r="B70" s="64">
        <v>0.77990000000000004</v>
      </c>
      <c r="C70" s="64"/>
      <c r="D70" s="64"/>
      <c r="E70" s="64"/>
      <c r="F70" s="64"/>
      <c r="G70" s="64" t="s">
        <v>434</v>
      </c>
      <c r="H70" s="67" t="s">
        <v>435</v>
      </c>
      <c r="I70" s="67" t="s">
        <v>432</v>
      </c>
      <c r="J70" s="64" t="s">
        <v>60</v>
      </c>
      <c r="K70" s="64"/>
      <c r="L70" s="64" t="s">
        <v>381</v>
      </c>
      <c r="M70" s="64"/>
      <c r="P70" s="71" t="s">
        <v>911</v>
      </c>
      <c r="Q70" s="64"/>
    </row>
    <row r="71" spans="1:17" hidden="1">
      <c r="A71" s="70" t="s">
        <v>433</v>
      </c>
      <c r="B71" s="64"/>
      <c r="C71" s="64"/>
      <c r="D71" s="64"/>
      <c r="E71" s="64"/>
      <c r="F71" s="64"/>
      <c r="G71" s="64" t="s">
        <v>434</v>
      </c>
      <c r="H71" s="67"/>
      <c r="I71" s="67"/>
      <c r="J71" s="64" t="s">
        <v>60</v>
      </c>
      <c r="K71" s="64"/>
      <c r="L71" s="64" t="s">
        <v>61</v>
      </c>
      <c r="M71" s="64"/>
      <c r="P71" s="64" t="s">
        <v>921</v>
      </c>
      <c r="Q71" s="64"/>
    </row>
    <row r="72" spans="1:17" hidden="1">
      <c r="A72" s="70" t="s">
        <v>433</v>
      </c>
      <c r="B72" s="64"/>
      <c r="C72" s="64"/>
      <c r="D72" s="64"/>
      <c r="E72" s="64"/>
      <c r="F72" s="64"/>
      <c r="G72" s="64" t="s">
        <v>434</v>
      </c>
      <c r="H72" s="67"/>
      <c r="I72" s="67"/>
      <c r="J72" s="64" t="s">
        <v>60</v>
      </c>
      <c r="K72" s="64"/>
      <c r="L72" s="64" t="s">
        <v>64</v>
      </c>
      <c r="M72" s="64"/>
      <c r="P72" s="64" t="s">
        <v>921</v>
      </c>
      <c r="Q72" s="64"/>
    </row>
    <row r="73" spans="1:17" hidden="1">
      <c r="A73" s="70" t="s">
        <v>433</v>
      </c>
      <c r="B73" s="64"/>
      <c r="C73" s="64"/>
      <c r="D73" s="64"/>
      <c r="E73" s="64"/>
      <c r="F73" s="64"/>
      <c r="G73" s="64" t="s">
        <v>434</v>
      </c>
      <c r="H73" s="67"/>
      <c r="I73" s="67"/>
      <c r="J73" s="64" t="s">
        <v>60</v>
      </c>
      <c r="K73" s="64"/>
      <c r="L73" s="64" t="s">
        <v>65</v>
      </c>
      <c r="M73" s="64"/>
      <c r="P73" s="64" t="s">
        <v>921</v>
      </c>
      <c r="Q73" s="64"/>
    </row>
    <row r="74" spans="1:17" ht="119.1" hidden="1">
      <c r="A74" s="70" t="s">
        <v>436</v>
      </c>
      <c r="B74" s="64">
        <v>0.35</v>
      </c>
      <c r="C74" s="64"/>
      <c r="D74" s="64"/>
      <c r="E74" s="64"/>
      <c r="F74" s="64"/>
      <c r="G74" s="64" t="s">
        <v>437</v>
      </c>
      <c r="H74" s="67" t="s">
        <v>438</v>
      </c>
      <c r="I74" s="67" t="s">
        <v>63</v>
      </c>
      <c r="J74" s="64" t="s">
        <v>60</v>
      </c>
      <c r="K74" s="64"/>
      <c r="L74" s="64" t="s">
        <v>381</v>
      </c>
      <c r="M74" s="64"/>
      <c r="P74" s="71" t="s">
        <v>911</v>
      </c>
      <c r="Q74" s="64"/>
    </row>
    <row r="75" spans="1:17" ht="119.1" hidden="1">
      <c r="A75" s="70" t="s">
        <v>436</v>
      </c>
      <c r="B75" s="64"/>
      <c r="C75" s="64"/>
      <c r="D75" s="64"/>
      <c r="E75" s="64"/>
      <c r="F75" s="64"/>
      <c r="G75" s="64" t="s">
        <v>437</v>
      </c>
      <c r="H75" s="67" t="s">
        <v>438</v>
      </c>
      <c r="I75" s="67" t="s">
        <v>63</v>
      </c>
      <c r="J75" s="64" t="s">
        <v>60</v>
      </c>
      <c r="K75" s="64"/>
      <c r="L75" s="64" t="s">
        <v>61</v>
      </c>
      <c r="M75" s="64"/>
      <c r="P75" s="64" t="s">
        <v>921</v>
      </c>
      <c r="Q75" s="64"/>
    </row>
    <row r="76" spans="1:17" ht="119.1" hidden="1">
      <c r="A76" s="70" t="s">
        <v>436</v>
      </c>
      <c r="B76" s="64"/>
      <c r="C76" s="64"/>
      <c r="D76" s="64"/>
      <c r="E76" s="64"/>
      <c r="F76" s="64"/>
      <c r="G76" s="64" t="s">
        <v>437</v>
      </c>
      <c r="H76" s="67" t="s">
        <v>438</v>
      </c>
      <c r="I76" s="67" t="s">
        <v>63</v>
      </c>
      <c r="J76" s="64" t="s">
        <v>60</v>
      </c>
      <c r="K76" s="64"/>
      <c r="L76" s="64" t="s">
        <v>64</v>
      </c>
      <c r="M76" s="64"/>
      <c r="P76" s="64" t="s">
        <v>921</v>
      </c>
      <c r="Q76" s="64"/>
    </row>
    <row r="77" spans="1:17" ht="119.1" hidden="1">
      <c r="A77" s="70" t="s">
        <v>436</v>
      </c>
      <c r="B77" s="64"/>
      <c r="C77" s="64"/>
      <c r="D77" s="64"/>
      <c r="E77" s="64"/>
      <c r="F77" s="64"/>
      <c r="G77" s="64" t="s">
        <v>437</v>
      </c>
      <c r="H77" s="67" t="s">
        <v>438</v>
      </c>
      <c r="I77" s="67" t="s">
        <v>63</v>
      </c>
      <c r="J77" s="64" t="s">
        <v>60</v>
      </c>
      <c r="K77" s="64"/>
      <c r="L77" s="64" t="s">
        <v>65</v>
      </c>
      <c r="M77" s="64"/>
      <c r="P77" s="64" t="s">
        <v>921</v>
      </c>
      <c r="Q77" s="64"/>
    </row>
    <row r="78" spans="1:17" ht="119.1" hidden="1">
      <c r="A78" s="70" t="s">
        <v>439</v>
      </c>
      <c r="B78" s="64">
        <v>0.77990000000000004</v>
      </c>
      <c r="C78" s="64"/>
      <c r="D78" s="64"/>
      <c r="E78" s="64"/>
      <c r="F78" s="64"/>
      <c r="G78" s="64" t="s">
        <v>440</v>
      </c>
      <c r="H78" s="67" t="s">
        <v>438</v>
      </c>
      <c r="I78" s="67" t="s">
        <v>63</v>
      </c>
      <c r="J78" s="64" t="s">
        <v>60</v>
      </c>
      <c r="K78" s="64"/>
      <c r="L78" s="64" t="s">
        <v>381</v>
      </c>
      <c r="M78" s="64"/>
      <c r="P78" s="71" t="s">
        <v>911</v>
      </c>
      <c r="Q78" s="64"/>
    </row>
    <row r="79" spans="1:17" ht="119.1" hidden="1">
      <c r="A79" s="70" t="s">
        <v>439</v>
      </c>
      <c r="B79" s="64"/>
      <c r="C79" s="64"/>
      <c r="D79" s="64"/>
      <c r="E79" s="64"/>
      <c r="F79" s="64"/>
      <c r="G79" s="64" t="s">
        <v>440</v>
      </c>
      <c r="H79" s="67" t="s">
        <v>438</v>
      </c>
      <c r="I79" s="67" t="s">
        <v>63</v>
      </c>
      <c r="J79" s="64" t="s">
        <v>60</v>
      </c>
      <c r="K79" s="64"/>
      <c r="L79" s="64" t="s">
        <v>61</v>
      </c>
      <c r="M79" s="64"/>
      <c r="P79" s="64" t="s">
        <v>921</v>
      </c>
      <c r="Q79" s="64"/>
    </row>
    <row r="80" spans="1:17" ht="119.1" hidden="1">
      <c r="A80" s="70" t="s">
        <v>439</v>
      </c>
      <c r="B80" s="64"/>
      <c r="C80" s="64"/>
      <c r="D80" s="64"/>
      <c r="E80" s="64"/>
      <c r="F80" s="64"/>
      <c r="G80" s="64" t="s">
        <v>440</v>
      </c>
      <c r="H80" s="67" t="s">
        <v>438</v>
      </c>
      <c r="I80" s="67" t="s">
        <v>63</v>
      </c>
      <c r="J80" s="64" t="s">
        <v>60</v>
      </c>
      <c r="K80" s="64"/>
      <c r="L80" s="64" t="s">
        <v>64</v>
      </c>
      <c r="M80" s="64"/>
      <c r="P80" s="64" t="s">
        <v>921</v>
      </c>
      <c r="Q80" s="64"/>
    </row>
    <row r="81" spans="1:17" ht="119.1" hidden="1">
      <c r="A81" s="70" t="s">
        <v>439</v>
      </c>
      <c r="B81" s="64"/>
      <c r="C81" s="64"/>
      <c r="D81" s="64"/>
      <c r="E81" s="64"/>
      <c r="F81" s="64"/>
      <c r="G81" s="64" t="s">
        <v>440</v>
      </c>
      <c r="H81" s="67" t="s">
        <v>438</v>
      </c>
      <c r="I81" s="67" t="s">
        <v>63</v>
      </c>
      <c r="J81" s="64" t="s">
        <v>60</v>
      </c>
      <c r="K81" s="64"/>
      <c r="L81" s="64" t="s">
        <v>65</v>
      </c>
      <c r="M81" s="64"/>
      <c r="P81" s="64" t="s">
        <v>921</v>
      </c>
      <c r="Q81" s="64"/>
    </row>
    <row r="82" spans="1:17" ht="84.95" hidden="1">
      <c r="A82" s="70" t="s">
        <v>441</v>
      </c>
      <c r="B82" s="64">
        <v>1.7600000000000001E-2</v>
      </c>
      <c r="C82" s="64"/>
      <c r="D82" s="64"/>
      <c r="E82" s="64"/>
      <c r="F82" s="64"/>
      <c r="G82" s="64" t="s">
        <v>442</v>
      </c>
      <c r="H82" s="67"/>
      <c r="I82" s="67" t="s">
        <v>432</v>
      </c>
      <c r="J82" s="64" t="s">
        <v>60</v>
      </c>
      <c r="K82" s="64"/>
      <c r="L82" s="64" t="s">
        <v>381</v>
      </c>
      <c r="M82" s="64"/>
      <c r="P82" s="71" t="s">
        <v>911</v>
      </c>
      <c r="Q82" s="64"/>
    </row>
    <row r="83" spans="1:17" hidden="1">
      <c r="A83" s="70" t="s">
        <v>441</v>
      </c>
      <c r="B83" s="64"/>
      <c r="C83" s="64"/>
      <c r="D83" s="64"/>
      <c r="E83" s="64"/>
      <c r="F83" s="64"/>
      <c r="G83" s="64" t="s">
        <v>442</v>
      </c>
      <c r="H83" s="67"/>
      <c r="I83" s="67"/>
      <c r="J83" s="64" t="s">
        <v>60</v>
      </c>
      <c r="K83" s="64"/>
      <c r="L83" s="64" t="s">
        <v>61</v>
      </c>
      <c r="M83" s="64"/>
      <c r="P83" s="64" t="s">
        <v>921</v>
      </c>
      <c r="Q83" s="64"/>
    </row>
    <row r="84" spans="1:17" hidden="1">
      <c r="A84" s="70" t="s">
        <v>441</v>
      </c>
      <c r="B84" s="64"/>
      <c r="C84" s="64"/>
      <c r="D84" s="64"/>
      <c r="E84" s="64"/>
      <c r="F84" s="64"/>
      <c r="G84" s="64" t="s">
        <v>442</v>
      </c>
      <c r="H84" s="67"/>
      <c r="I84" s="67"/>
      <c r="J84" s="64" t="s">
        <v>60</v>
      </c>
      <c r="K84" s="64"/>
      <c r="L84" s="64" t="s">
        <v>64</v>
      </c>
      <c r="M84" s="64"/>
      <c r="P84" s="64" t="s">
        <v>921</v>
      </c>
      <c r="Q84" s="64"/>
    </row>
    <row r="85" spans="1:17" hidden="1">
      <c r="A85" s="70" t="s">
        <v>441</v>
      </c>
      <c r="B85" s="64"/>
      <c r="C85" s="64"/>
      <c r="D85" s="64"/>
      <c r="E85" s="64"/>
      <c r="F85" s="64"/>
      <c r="G85" s="64" t="s">
        <v>442</v>
      </c>
      <c r="H85" s="67"/>
      <c r="I85" s="67"/>
      <c r="J85" s="64" t="s">
        <v>60</v>
      </c>
      <c r="K85" s="64"/>
      <c r="L85" s="64" t="s">
        <v>65</v>
      </c>
      <c r="M85" s="64"/>
      <c r="P85" s="64" t="s">
        <v>921</v>
      </c>
      <c r="Q85" s="64"/>
    </row>
    <row r="86" spans="1:17" ht="84.95" hidden="1">
      <c r="A86" s="70" t="s">
        <v>443</v>
      </c>
      <c r="B86" s="64">
        <v>1.6400000000000001E-2</v>
      </c>
      <c r="C86" s="64"/>
      <c r="D86" s="64"/>
      <c r="E86" s="64"/>
      <c r="F86" s="64"/>
      <c r="G86" s="64" t="s">
        <v>444</v>
      </c>
      <c r="H86" s="67"/>
      <c r="I86" s="67" t="s">
        <v>432</v>
      </c>
      <c r="J86" s="64" t="s">
        <v>60</v>
      </c>
      <c r="K86" s="64"/>
      <c r="L86" s="64" t="s">
        <v>381</v>
      </c>
      <c r="M86" s="64"/>
      <c r="P86" s="71" t="s">
        <v>911</v>
      </c>
      <c r="Q86" s="64"/>
    </row>
    <row r="87" spans="1:17" hidden="1">
      <c r="A87" s="70" t="s">
        <v>443</v>
      </c>
      <c r="B87" s="64"/>
      <c r="C87" s="64"/>
      <c r="D87" s="64"/>
      <c r="E87" s="64"/>
      <c r="F87" s="64"/>
      <c r="G87" s="64" t="s">
        <v>444</v>
      </c>
      <c r="H87" s="67"/>
      <c r="I87" s="67"/>
      <c r="J87" s="64" t="s">
        <v>60</v>
      </c>
      <c r="K87" s="64"/>
      <c r="L87" s="64" t="s">
        <v>61</v>
      </c>
      <c r="M87" s="64"/>
      <c r="P87" s="64" t="s">
        <v>921</v>
      </c>
      <c r="Q87" s="64"/>
    </row>
    <row r="88" spans="1:17" hidden="1">
      <c r="A88" s="70" t="s">
        <v>443</v>
      </c>
      <c r="B88" s="64"/>
      <c r="C88" s="64"/>
      <c r="D88" s="64"/>
      <c r="E88" s="64"/>
      <c r="F88" s="64"/>
      <c r="G88" s="64" t="s">
        <v>444</v>
      </c>
      <c r="H88" s="67"/>
      <c r="I88" s="67"/>
      <c r="J88" s="64" t="s">
        <v>60</v>
      </c>
      <c r="K88" s="64"/>
      <c r="L88" s="64" t="s">
        <v>64</v>
      </c>
      <c r="M88" s="64"/>
      <c r="P88" s="64" t="s">
        <v>921</v>
      </c>
      <c r="Q88" s="64"/>
    </row>
    <row r="89" spans="1:17" hidden="1">
      <c r="A89" s="70" t="s">
        <v>443</v>
      </c>
      <c r="B89" s="64"/>
      <c r="C89" s="64"/>
      <c r="D89" s="64"/>
      <c r="E89" s="64"/>
      <c r="F89" s="64"/>
      <c r="G89" s="64" t="s">
        <v>444</v>
      </c>
      <c r="H89" s="67"/>
      <c r="I89" s="67"/>
      <c r="J89" s="64" t="s">
        <v>60</v>
      </c>
      <c r="K89" s="64"/>
      <c r="L89" s="64" t="s">
        <v>65</v>
      </c>
      <c r="M89" s="64"/>
      <c r="P89" s="64" t="s">
        <v>921</v>
      </c>
      <c r="Q89" s="64"/>
    </row>
    <row r="90" spans="1:17" ht="84.95" hidden="1">
      <c r="A90" s="70" t="s">
        <v>445</v>
      </c>
      <c r="B90" s="64">
        <v>1.9099999999999999E-2</v>
      </c>
      <c r="C90" s="64"/>
      <c r="D90" s="64"/>
      <c r="E90" s="64"/>
      <c r="F90" s="64"/>
      <c r="G90" s="64" t="s">
        <v>446</v>
      </c>
      <c r="H90" s="67"/>
      <c r="I90" s="67" t="s">
        <v>432</v>
      </c>
      <c r="J90" s="64" t="s">
        <v>60</v>
      </c>
      <c r="K90" s="64"/>
      <c r="L90" s="64" t="s">
        <v>381</v>
      </c>
      <c r="M90" s="64"/>
      <c r="P90" s="71" t="s">
        <v>911</v>
      </c>
      <c r="Q90" s="64"/>
    </row>
    <row r="91" spans="1:17" hidden="1">
      <c r="A91" s="70" t="s">
        <v>445</v>
      </c>
      <c r="B91" s="64"/>
      <c r="C91" s="64"/>
      <c r="D91" s="64"/>
      <c r="E91" s="64"/>
      <c r="F91" s="64"/>
      <c r="G91" s="64" t="s">
        <v>446</v>
      </c>
      <c r="H91" s="67"/>
      <c r="I91" s="67"/>
      <c r="J91" s="64" t="s">
        <v>60</v>
      </c>
      <c r="K91" s="64"/>
      <c r="L91" s="64" t="s">
        <v>61</v>
      </c>
      <c r="M91" s="64"/>
      <c r="P91" s="64" t="s">
        <v>921</v>
      </c>
      <c r="Q91" s="64"/>
    </row>
    <row r="92" spans="1:17" hidden="1">
      <c r="A92" s="70" t="s">
        <v>445</v>
      </c>
      <c r="B92" s="64"/>
      <c r="C92" s="64"/>
      <c r="D92" s="64"/>
      <c r="E92" s="64"/>
      <c r="F92" s="64"/>
      <c r="G92" s="64" t="s">
        <v>446</v>
      </c>
      <c r="H92" s="67"/>
      <c r="I92" s="67"/>
      <c r="J92" s="64" t="s">
        <v>60</v>
      </c>
      <c r="K92" s="64"/>
      <c r="L92" s="64" t="s">
        <v>64</v>
      </c>
      <c r="M92" s="64"/>
      <c r="P92" s="64" t="s">
        <v>921</v>
      </c>
      <c r="Q92" s="64"/>
    </row>
    <row r="93" spans="1:17" hidden="1">
      <c r="A93" s="70" t="s">
        <v>445</v>
      </c>
      <c r="B93" s="64"/>
      <c r="C93" s="64"/>
      <c r="D93" s="64"/>
      <c r="E93" s="64"/>
      <c r="F93" s="64"/>
      <c r="G93" s="64" t="s">
        <v>446</v>
      </c>
      <c r="H93" s="67"/>
      <c r="I93" s="67"/>
      <c r="J93" s="64" t="s">
        <v>60</v>
      </c>
      <c r="K93" s="64"/>
      <c r="L93" s="64" t="s">
        <v>65</v>
      </c>
      <c r="M93" s="64"/>
      <c r="P93" s="64" t="s">
        <v>921</v>
      </c>
      <c r="Q93" s="64"/>
    </row>
    <row r="94" spans="1:17" ht="84.95" hidden="1">
      <c r="A94" s="70" t="s">
        <v>447</v>
      </c>
      <c r="B94" s="64">
        <v>0.79820000000000002</v>
      </c>
      <c r="C94" s="64"/>
      <c r="D94" s="64"/>
      <c r="E94" s="64"/>
      <c r="F94" s="64"/>
      <c r="G94" s="64" t="s">
        <v>448</v>
      </c>
      <c r="H94" s="67"/>
      <c r="I94" s="67" t="s">
        <v>432</v>
      </c>
      <c r="J94" s="64" t="s">
        <v>60</v>
      </c>
      <c r="K94" s="64"/>
      <c r="L94" s="64" t="s">
        <v>381</v>
      </c>
      <c r="M94" s="64"/>
      <c r="P94" s="71" t="s">
        <v>911</v>
      </c>
      <c r="Q94" s="64"/>
    </row>
    <row r="95" spans="1:17" hidden="1">
      <c r="A95" s="70" t="s">
        <v>447</v>
      </c>
      <c r="B95" s="64"/>
      <c r="C95" s="64"/>
      <c r="D95" s="64"/>
      <c r="E95" s="64"/>
      <c r="F95" s="64"/>
      <c r="G95" s="64" t="s">
        <v>448</v>
      </c>
      <c r="H95" s="67"/>
      <c r="I95" s="67"/>
      <c r="J95" s="64" t="s">
        <v>60</v>
      </c>
      <c r="K95" s="64"/>
      <c r="L95" s="64" t="s">
        <v>61</v>
      </c>
      <c r="M95" s="64"/>
      <c r="P95" s="64" t="s">
        <v>921</v>
      </c>
      <c r="Q95" s="64"/>
    </row>
    <row r="96" spans="1:17" hidden="1">
      <c r="A96" s="70" t="s">
        <v>447</v>
      </c>
      <c r="B96" s="64"/>
      <c r="C96" s="64"/>
      <c r="D96" s="64"/>
      <c r="E96" s="64"/>
      <c r="F96" s="64"/>
      <c r="G96" s="64" t="s">
        <v>448</v>
      </c>
      <c r="H96" s="67"/>
      <c r="I96" s="67"/>
      <c r="J96" s="64" t="s">
        <v>60</v>
      </c>
      <c r="K96" s="64"/>
      <c r="L96" s="64" t="s">
        <v>64</v>
      </c>
      <c r="M96" s="64"/>
      <c r="P96" s="64" t="s">
        <v>921</v>
      </c>
      <c r="Q96" s="64"/>
    </row>
    <row r="97" spans="1:17" hidden="1">
      <c r="A97" s="70" t="s">
        <v>447</v>
      </c>
      <c r="B97" s="64"/>
      <c r="C97" s="64"/>
      <c r="D97" s="64"/>
      <c r="E97" s="64"/>
      <c r="F97" s="64"/>
      <c r="G97" s="64" t="s">
        <v>448</v>
      </c>
      <c r="H97" s="67"/>
      <c r="I97" s="67"/>
      <c r="J97" s="64" t="s">
        <v>60</v>
      </c>
      <c r="K97" s="64"/>
      <c r="L97" s="64" t="s">
        <v>65</v>
      </c>
      <c r="M97" s="64"/>
      <c r="P97" s="64" t="s">
        <v>921</v>
      </c>
      <c r="Q97" s="64"/>
    </row>
    <row r="98" spans="1:17" ht="84.95" hidden="1">
      <c r="A98" s="70" t="s">
        <v>449</v>
      </c>
      <c r="B98" s="64">
        <v>0.01</v>
      </c>
      <c r="C98" s="64"/>
      <c r="D98" s="64"/>
      <c r="E98" s="64"/>
      <c r="F98" s="64"/>
      <c r="G98" s="64" t="s">
        <v>450</v>
      </c>
      <c r="H98" s="67"/>
      <c r="I98" s="67" t="s">
        <v>432</v>
      </c>
      <c r="J98" s="64" t="s">
        <v>60</v>
      </c>
      <c r="K98" s="64"/>
      <c r="L98" s="64" t="s">
        <v>381</v>
      </c>
      <c r="M98" s="64"/>
      <c r="P98" s="71" t="s">
        <v>911</v>
      </c>
      <c r="Q98" s="64"/>
    </row>
    <row r="99" spans="1:17" hidden="1">
      <c r="A99" s="70" t="s">
        <v>449</v>
      </c>
      <c r="B99" s="64"/>
      <c r="C99" s="64"/>
      <c r="D99" s="64"/>
      <c r="E99" s="64"/>
      <c r="F99" s="64"/>
      <c r="G99" s="64" t="s">
        <v>450</v>
      </c>
      <c r="H99" s="67"/>
      <c r="I99" s="67"/>
      <c r="J99" s="64" t="s">
        <v>60</v>
      </c>
      <c r="K99" s="64"/>
      <c r="L99" s="64" t="s">
        <v>61</v>
      </c>
      <c r="M99" s="64"/>
      <c r="P99" s="64" t="s">
        <v>921</v>
      </c>
      <c r="Q99" s="64"/>
    </row>
    <row r="100" spans="1:17" hidden="1">
      <c r="A100" s="70" t="s">
        <v>449</v>
      </c>
      <c r="B100" s="64"/>
      <c r="C100" s="64"/>
      <c r="D100" s="64"/>
      <c r="E100" s="64"/>
      <c r="F100" s="64"/>
      <c r="G100" s="64" t="s">
        <v>450</v>
      </c>
      <c r="H100" s="67"/>
      <c r="I100" s="67"/>
      <c r="J100" s="64" t="s">
        <v>60</v>
      </c>
      <c r="K100" s="64"/>
      <c r="L100" s="64" t="s">
        <v>64</v>
      </c>
      <c r="M100" s="64"/>
      <c r="P100" s="64" t="s">
        <v>921</v>
      </c>
      <c r="Q100" s="64"/>
    </row>
    <row r="101" spans="1:17" hidden="1">
      <c r="A101" s="70" t="s">
        <v>449</v>
      </c>
      <c r="B101" s="64"/>
      <c r="C101" s="64"/>
      <c r="D101" s="64"/>
      <c r="E101" s="64"/>
      <c r="F101" s="64"/>
      <c r="G101" s="64" t="s">
        <v>450</v>
      </c>
      <c r="H101" s="67"/>
      <c r="I101" s="67"/>
      <c r="J101" s="64" t="s">
        <v>60</v>
      </c>
      <c r="K101" s="64"/>
      <c r="L101" s="64" t="s">
        <v>65</v>
      </c>
      <c r="M101" s="64"/>
      <c r="P101" s="64" t="s">
        <v>921</v>
      </c>
      <c r="Q101" s="64"/>
    </row>
    <row r="102" spans="1:17" ht="84.95" hidden="1">
      <c r="A102" s="70" t="s">
        <v>451</v>
      </c>
      <c r="B102" s="64">
        <v>3.56E-2</v>
      </c>
      <c r="C102" s="64"/>
      <c r="D102" s="64"/>
      <c r="E102" s="64"/>
      <c r="F102" s="64"/>
      <c r="G102" s="64" t="s">
        <v>452</v>
      </c>
      <c r="H102" s="67"/>
      <c r="I102" s="67" t="s">
        <v>432</v>
      </c>
      <c r="J102" s="64" t="s">
        <v>60</v>
      </c>
      <c r="K102" s="64"/>
      <c r="L102" s="64" t="s">
        <v>381</v>
      </c>
      <c r="M102" s="64"/>
      <c r="P102" s="71" t="s">
        <v>911</v>
      </c>
      <c r="Q102" s="64"/>
    </row>
    <row r="103" spans="1:17" hidden="1">
      <c r="A103" s="70" t="s">
        <v>451</v>
      </c>
      <c r="B103" s="64"/>
      <c r="C103" s="64"/>
      <c r="D103" s="64"/>
      <c r="E103" s="64"/>
      <c r="F103" s="64"/>
      <c r="G103" s="64" t="s">
        <v>452</v>
      </c>
      <c r="H103" s="67"/>
      <c r="I103" s="67"/>
      <c r="J103" s="64" t="s">
        <v>60</v>
      </c>
      <c r="K103" s="64"/>
      <c r="L103" s="64" t="s">
        <v>61</v>
      </c>
      <c r="M103" s="64"/>
      <c r="P103" s="64" t="s">
        <v>921</v>
      </c>
      <c r="Q103" s="64"/>
    </row>
    <row r="104" spans="1:17" hidden="1">
      <c r="A104" s="70" t="s">
        <v>451</v>
      </c>
      <c r="B104" s="64"/>
      <c r="C104" s="64"/>
      <c r="D104" s="64"/>
      <c r="E104" s="64"/>
      <c r="F104" s="64"/>
      <c r="G104" s="64" t="s">
        <v>452</v>
      </c>
      <c r="H104" s="67"/>
      <c r="I104" s="67"/>
      <c r="J104" s="64" t="s">
        <v>60</v>
      </c>
      <c r="K104" s="64"/>
      <c r="L104" s="64" t="s">
        <v>64</v>
      </c>
      <c r="M104" s="64"/>
      <c r="P104" s="64" t="s">
        <v>921</v>
      </c>
      <c r="Q104" s="64"/>
    </row>
    <row r="105" spans="1:17" hidden="1">
      <c r="A105" s="70" t="s">
        <v>451</v>
      </c>
      <c r="B105" s="64"/>
      <c r="C105" s="64"/>
      <c r="D105" s="64"/>
      <c r="E105" s="64"/>
      <c r="F105" s="64"/>
      <c r="G105" s="64" t="s">
        <v>452</v>
      </c>
      <c r="H105" s="67"/>
      <c r="I105" s="67"/>
      <c r="J105" s="64" t="s">
        <v>60</v>
      </c>
      <c r="K105" s="64"/>
      <c r="L105" s="64" t="s">
        <v>65</v>
      </c>
      <c r="M105" s="64"/>
      <c r="P105" s="64" t="s">
        <v>921</v>
      </c>
      <c r="Q105" s="64"/>
    </row>
    <row r="106" spans="1:17" ht="84.95" hidden="1">
      <c r="A106" s="70" t="s">
        <v>453</v>
      </c>
      <c r="B106" s="64">
        <v>0</v>
      </c>
      <c r="C106" s="64"/>
      <c r="D106" s="64"/>
      <c r="E106" s="64"/>
      <c r="F106" s="64"/>
      <c r="G106" s="64" t="s">
        <v>454</v>
      </c>
      <c r="H106" s="67" t="s">
        <v>455</v>
      </c>
      <c r="I106" s="67" t="s">
        <v>432</v>
      </c>
      <c r="J106" s="64" t="s">
        <v>60</v>
      </c>
      <c r="K106" s="64">
        <v>0</v>
      </c>
      <c r="L106" s="64" t="s">
        <v>381</v>
      </c>
      <c r="M106" s="64"/>
      <c r="P106" s="71" t="s">
        <v>911</v>
      </c>
      <c r="Q106" s="64"/>
    </row>
    <row r="107" spans="1:17" ht="84.95" hidden="1">
      <c r="A107" s="70" t="s">
        <v>453</v>
      </c>
      <c r="B107" s="64">
        <v>5.6800000000000003E-2</v>
      </c>
      <c r="C107" s="64"/>
      <c r="D107" s="64"/>
      <c r="E107" s="64"/>
      <c r="F107" s="64"/>
      <c r="G107" s="64" t="s">
        <v>456</v>
      </c>
      <c r="H107" s="67"/>
      <c r="I107" s="67" t="s">
        <v>432</v>
      </c>
      <c r="J107" s="64" t="s">
        <v>60</v>
      </c>
      <c r="K107" s="64">
        <v>1</v>
      </c>
      <c r="L107" s="64" t="s">
        <v>381</v>
      </c>
      <c r="M107" s="64"/>
      <c r="P107" s="71" t="s">
        <v>911</v>
      </c>
      <c r="Q107" s="64"/>
    </row>
    <row r="108" spans="1:17" ht="84.95" hidden="1">
      <c r="A108" s="70" t="s">
        <v>453</v>
      </c>
      <c r="B108" s="64">
        <v>0.1215</v>
      </c>
      <c r="C108" s="64"/>
      <c r="D108" s="64"/>
      <c r="E108" s="64"/>
      <c r="F108" s="64"/>
      <c r="G108" s="64" t="s">
        <v>457</v>
      </c>
      <c r="H108" s="67"/>
      <c r="I108" s="67" t="s">
        <v>432</v>
      </c>
      <c r="J108" s="64" t="s">
        <v>60</v>
      </c>
      <c r="K108" s="64">
        <v>2</v>
      </c>
      <c r="L108" s="64" t="s">
        <v>381</v>
      </c>
      <c r="M108" s="64"/>
      <c r="P108" s="71" t="s">
        <v>911</v>
      </c>
      <c r="Q108" s="64"/>
    </row>
    <row r="109" spans="1:17" ht="84.95" hidden="1">
      <c r="A109" s="70" t="s">
        <v>453</v>
      </c>
      <c r="B109" s="64">
        <v>0.1215</v>
      </c>
      <c r="C109" s="64"/>
      <c r="D109" s="64"/>
      <c r="E109" s="64"/>
      <c r="F109" s="64"/>
      <c r="G109" s="64" t="s">
        <v>458</v>
      </c>
      <c r="H109" s="67"/>
      <c r="I109" s="67" t="s">
        <v>432</v>
      </c>
      <c r="J109" s="64" t="s">
        <v>60</v>
      </c>
      <c r="K109" s="64">
        <v>3</v>
      </c>
      <c r="L109" s="64" t="s">
        <v>381</v>
      </c>
      <c r="M109" s="64"/>
      <c r="P109" s="71" t="s">
        <v>911</v>
      </c>
      <c r="Q109" s="64"/>
    </row>
    <row r="110" spans="1:17" hidden="1">
      <c r="A110" s="70" t="s">
        <v>453</v>
      </c>
      <c r="B110" s="64"/>
      <c r="C110" s="64"/>
      <c r="D110" s="64"/>
      <c r="E110" s="64"/>
      <c r="F110" s="64"/>
      <c r="G110" s="64" t="s">
        <v>454</v>
      </c>
      <c r="H110" s="67"/>
      <c r="I110" s="67"/>
      <c r="J110" s="64" t="s">
        <v>60</v>
      </c>
      <c r="K110" s="64">
        <v>0</v>
      </c>
      <c r="L110" s="64" t="s">
        <v>61</v>
      </c>
      <c r="M110" s="64"/>
      <c r="P110" s="64" t="s">
        <v>921</v>
      </c>
      <c r="Q110" s="64"/>
    </row>
    <row r="111" spans="1:17" hidden="1">
      <c r="A111" s="70" t="s">
        <v>453</v>
      </c>
      <c r="B111" s="64"/>
      <c r="C111" s="64"/>
      <c r="D111" s="64"/>
      <c r="E111" s="64"/>
      <c r="F111" s="64"/>
      <c r="G111" s="64" t="s">
        <v>456</v>
      </c>
      <c r="H111" s="67"/>
      <c r="I111" s="67"/>
      <c r="J111" s="64" t="s">
        <v>60</v>
      </c>
      <c r="K111" s="64">
        <v>1</v>
      </c>
      <c r="L111" s="64" t="s">
        <v>61</v>
      </c>
      <c r="M111" s="64"/>
      <c r="P111" s="64" t="s">
        <v>921</v>
      </c>
      <c r="Q111" s="64"/>
    </row>
    <row r="112" spans="1:17" hidden="1">
      <c r="A112" s="70" t="s">
        <v>453</v>
      </c>
      <c r="B112" s="64"/>
      <c r="C112" s="64"/>
      <c r="D112" s="64"/>
      <c r="E112" s="64"/>
      <c r="F112" s="64"/>
      <c r="G112" s="64" t="s">
        <v>457</v>
      </c>
      <c r="H112" s="67"/>
      <c r="I112" s="67"/>
      <c r="J112" s="64" t="s">
        <v>60</v>
      </c>
      <c r="K112" s="64">
        <v>2</v>
      </c>
      <c r="L112" s="64" t="s">
        <v>61</v>
      </c>
      <c r="M112" s="64"/>
      <c r="P112" s="64" t="s">
        <v>921</v>
      </c>
      <c r="Q112" s="64"/>
    </row>
    <row r="113" spans="1:17" hidden="1">
      <c r="A113" s="70" t="s">
        <v>453</v>
      </c>
      <c r="B113" s="64"/>
      <c r="C113" s="64"/>
      <c r="D113" s="64"/>
      <c r="E113" s="64"/>
      <c r="F113" s="64"/>
      <c r="G113" s="64" t="s">
        <v>458</v>
      </c>
      <c r="H113" s="67"/>
      <c r="I113" s="67"/>
      <c r="J113" s="64" t="s">
        <v>60</v>
      </c>
      <c r="K113" s="64">
        <v>3</v>
      </c>
      <c r="L113" s="64" t="s">
        <v>61</v>
      </c>
      <c r="M113" s="64"/>
      <c r="P113" s="64" t="s">
        <v>921</v>
      </c>
      <c r="Q113" s="64"/>
    </row>
    <row r="114" spans="1:17" hidden="1">
      <c r="A114" s="70" t="s">
        <v>453</v>
      </c>
      <c r="B114" s="64"/>
      <c r="C114" s="64"/>
      <c r="D114" s="64"/>
      <c r="E114" s="64"/>
      <c r="F114" s="64"/>
      <c r="G114" s="64" t="s">
        <v>454</v>
      </c>
      <c r="H114" s="67"/>
      <c r="I114" s="67"/>
      <c r="J114" s="64" t="s">
        <v>60</v>
      </c>
      <c r="K114" s="64">
        <v>0</v>
      </c>
      <c r="L114" s="64" t="s">
        <v>64</v>
      </c>
      <c r="M114" s="64"/>
      <c r="P114" s="64" t="s">
        <v>921</v>
      </c>
      <c r="Q114" s="64"/>
    </row>
    <row r="115" spans="1:17" hidden="1">
      <c r="A115" s="70" t="s">
        <v>453</v>
      </c>
      <c r="B115" s="64"/>
      <c r="C115" s="64"/>
      <c r="D115" s="64"/>
      <c r="E115" s="64"/>
      <c r="F115" s="64"/>
      <c r="G115" s="64" t="s">
        <v>456</v>
      </c>
      <c r="H115" s="67"/>
      <c r="I115" s="67"/>
      <c r="J115" s="64" t="s">
        <v>60</v>
      </c>
      <c r="K115" s="64">
        <v>1</v>
      </c>
      <c r="L115" s="64" t="s">
        <v>64</v>
      </c>
      <c r="M115" s="64"/>
      <c r="P115" s="64" t="s">
        <v>921</v>
      </c>
      <c r="Q115" s="64"/>
    </row>
    <row r="116" spans="1:17" hidden="1">
      <c r="A116" s="70" t="s">
        <v>453</v>
      </c>
      <c r="B116" s="64"/>
      <c r="C116" s="64"/>
      <c r="D116" s="64"/>
      <c r="E116" s="64"/>
      <c r="F116" s="64"/>
      <c r="G116" s="64" t="s">
        <v>457</v>
      </c>
      <c r="H116" s="67"/>
      <c r="I116" s="67"/>
      <c r="J116" s="64" t="s">
        <v>60</v>
      </c>
      <c r="K116" s="64">
        <v>2</v>
      </c>
      <c r="L116" s="64" t="s">
        <v>64</v>
      </c>
      <c r="M116" s="64"/>
      <c r="P116" s="64" t="s">
        <v>921</v>
      </c>
      <c r="Q116" s="64"/>
    </row>
    <row r="117" spans="1:17" hidden="1">
      <c r="A117" s="70" t="s">
        <v>453</v>
      </c>
      <c r="B117" s="64"/>
      <c r="C117" s="64"/>
      <c r="D117" s="64"/>
      <c r="E117" s="64"/>
      <c r="F117" s="64"/>
      <c r="G117" s="64" t="s">
        <v>458</v>
      </c>
      <c r="H117" s="67"/>
      <c r="I117" s="67"/>
      <c r="J117" s="64" t="s">
        <v>60</v>
      </c>
      <c r="K117" s="64">
        <v>3</v>
      </c>
      <c r="L117" s="64" t="s">
        <v>64</v>
      </c>
      <c r="M117" s="64"/>
      <c r="P117" s="64" t="s">
        <v>921</v>
      </c>
      <c r="Q117" s="64"/>
    </row>
    <row r="118" spans="1:17" hidden="1">
      <c r="A118" s="70" t="s">
        <v>453</v>
      </c>
      <c r="B118" s="64"/>
      <c r="C118" s="64"/>
      <c r="D118" s="64"/>
      <c r="E118" s="64"/>
      <c r="F118" s="64"/>
      <c r="G118" s="64" t="s">
        <v>454</v>
      </c>
      <c r="H118" s="67"/>
      <c r="I118" s="67"/>
      <c r="J118" s="64" t="s">
        <v>60</v>
      </c>
      <c r="K118" s="64">
        <v>0</v>
      </c>
      <c r="L118" s="64" t="s">
        <v>65</v>
      </c>
      <c r="M118" s="64"/>
      <c r="P118" s="64" t="s">
        <v>921</v>
      </c>
      <c r="Q118" s="64"/>
    </row>
    <row r="119" spans="1:17" hidden="1">
      <c r="A119" s="70" t="s">
        <v>453</v>
      </c>
      <c r="B119" s="64"/>
      <c r="C119" s="64"/>
      <c r="D119" s="64"/>
      <c r="E119" s="64"/>
      <c r="F119" s="64"/>
      <c r="G119" s="64" t="s">
        <v>456</v>
      </c>
      <c r="H119" s="67"/>
      <c r="I119" s="67"/>
      <c r="J119" s="64" t="s">
        <v>60</v>
      </c>
      <c r="K119" s="64">
        <v>1</v>
      </c>
      <c r="L119" s="64" t="s">
        <v>65</v>
      </c>
      <c r="M119" s="64"/>
      <c r="P119" s="64" t="s">
        <v>921</v>
      </c>
      <c r="Q119" s="64"/>
    </row>
    <row r="120" spans="1:17" hidden="1">
      <c r="A120" s="70" t="s">
        <v>453</v>
      </c>
      <c r="B120" s="64"/>
      <c r="C120" s="64"/>
      <c r="D120" s="64"/>
      <c r="E120" s="64"/>
      <c r="F120" s="64"/>
      <c r="G120" s="64" t="s">
        <v>457</v>
      </c>
      <c r="H120" s="67"/>
      <c r="I120" s="67"/>
      <c r="J120" s="64" t="s">
        <v>60</v>
      </c>
      <c r="K120" s="64">
        <v>2</v>
      </c>
      <c r="L120" s="64" t="s">
        <v>65</v>
      </c>
      <c r="M120" s="64"/>
      <c r="P120" s="64" t="s">
        <v>921</v>
      </c>
      <c r="Q120" s="64"/>
    </row>
    <row r="121" spans="1:17" hidden="1">
      <c r="A121" s="70" t="s">
        <v>453</v>
      </c>
      <c r="B121" s="64"/>
      <c r="C121" s="64"/>
      <c r="D121" s="64"/>
      <c r="E121" s="64"/>
      <c r="F121" s="64"/>
      <c r="G121" s="64" t="s">
        <v>458</v>
      </c>
      <c r="H121" s="67"/>
      <c r="I121" s="67"/>
      <c r="J121" s="64" t="s">
        <v>60</v>
      </c>
      <c r="K121" s="64">
        <v>3</v>
      </c>
      <c r="L121" s="64" t="s">
        <v>65</v>
      </c>
      <c r="M121" s="64"/>
      <c r="P121" s="64" t="s">
        <v>921</v>
      </c>
      <c r="Q121" s="64"/>
    </row>
    <row r="122" spans="1:17" ht="84.95" hidden="1">
      <c r="A122" s="70" t="s">
        <v>459</v>
      </c>
      <c r="B122" s="64">
        <v>0</v>
      </c>
      <c r="C122" s="64"/>
      <c r="D122" s="64"/>
      <c r="E122" s="64"/>
      <c r="F122" s="64"/>
      <c r="G122" s="64" t="s">
        <v>460</v>
      </c>
      <c r="H122" s="67" t="s">
        <v>461</v>
      </c>
      <c r="I122" s="67" t="s">
        <v>432</v>
      </c>
      <c r="J122" s="64" t="s">
        <v>60</v>
      </c>
      <c r="K122" s="64">
        <v>0</v>
      </c>
      <c r="L122" s="64" t="s">
        <v>381</v>
      </c>
      <c r="M122" s="64"/>
      <c r="P122" s="71" t="s">
        <v>911</v>
      </c>
      <c r="Q122" s="64"/>
    </row>
    <row r="123" spans="1:17" ht="84.95" hidden="1">
      <c r="A123" s="70" t="s">
        <v>459</v>
      </c>
      <c r="B123" s="64">
        <v>0</v>
      </c>
      <c r="C123" s="64"/>
      <c r="D123" s="64"/>
      <c r="E123" s="64"/>
      <c r="F123" s="64"/>
      <c r="G123" s="64" t="s">
        <v>462</v>
      </c>
      <c r="H123" s="67" t="s">
        <v>455</v>
      </c>
      <c r="I123" s="67" t="s">
        <v>432</v>
      </c>
      <c r="J123" s="64" t="s">
        <v>60</v>
      </c>
      <c r="K123" s="64">
        <v>1</v>
      </c>
      <c r="L123" s="64" t="s">
        <v>381</v>
      </c>
      <c r="M123" s="64"/>
      <c r="P123" s="71" t="s">
        <v>911</v>
      </c>
      <c r="Q123" s="64"/>
    </row>
    <row r="124" spans="1:17" ht="84.95" hidden="1">
      <c r="A124" s="70" t="s">
        <v>459</v>
      </c>
      <c r="B124" s="64">
        <v>0.1215</v>
      </c>
      <c r="C124" s="64"/>
      <c r="D124" s="64"/>
      <c r="E124" s="64"/>
      <c r="F124" s="64"/>
      <c r="G124" s="64" t="s">
        <v>463</v>
      </c>
      <c r="H124" s="67" t="s">
        <v>461</v>
      </c>
      <c r="I124" s="67" t="s">
        <v>432</v>
      </c>
      <c r="J124" s="64" t="s">
        <v>60</v>
      </c>
      <c r="K124" s="64">
        <v>2</v>
      </c>
      <c r="L124" s="64" t="s">
        <v>381</v>
      </c>
      <c r="M124" s="64"/>
      <c r="P124" s="71" t="s">
        <v>911</v>
      </c>
      <c r="Q124" s="64"/>
    </row>
    <row r="125" spans="1:17" ht="84.95" hidden="1">
      <c r="A125" s="70" t="s">
        <v>459</v>
      </c>
      <c r="B125" s="64">
        <v>0.1215</v>
      </c>
      <c r="C125" s="64"/>
      <c r="D125" s="64"/>
      <c r="E125" s="64"/>
      <c r="F125" s="64"/>
      <c r="G125" s="64" t="s">
        <v>464</v>
      </c>
      <c r="H125" s="67" t="s">
        <v>461</v>
      </c>
      <c r="I125" s="67" t="s">
        <v>432</v>
      </c>
      <c r="J125" s="64" t="s">
        <v>60</v>
      </c>
      <c r="K125" s="64">
        <v>3</v>
      </c>
      <c r="L125" s="64" t="s">
        <v>381</v>
      </c>
      <c r="M125" s="64"/>
      <c r="P125" s="71" t="s">
        <v>911</v>
      </c>
      <c r="Q125" s="64"/>
    </row>
    <row r="126" spans="1:17" hidden="1">
      <c r="A126" s="70" t="s">
        <v>459</v>
      </c>
      <c r="B126" s="64"/>
      <c r="C126" s="64"/>
      <c r="D126" s="64"/>
      <c r="E126" s="64"/>
      <c r="F126" s="64"/>
      <c r="G126" s="64" t="s">
        <v>460</v>
      </c>
      <c r="H126" s="67"/>
      <c r="I126" s="67"/>
      <c r="J126" s="64" t="s">
        <v>60</v>
      </c>
      <c r="K126" s="64">
        <v>0</v>
      </c>
      <c r="L126" s="64" t="s">
        <v>61</v>
      </c>
      <c r="M126" s="64"/>
      <c r="P126" s="64" t="s">
        <v>921</v>
      </c>
      <c r="Q126" s="64"/>
    </row>
    <row r="127" spans="1:17" hidden="1">
      <c r="A127" s="70" t="s">
        <v>459</v>
      </c>
      <c r="B127" s="64"/>
      <c r="C127" s="64"/>
      <c r="D127" s="64"/>
      <c r="E127" s="64"/>
      <c r="F127" s="64"/>
      <c r="G127" s="64" t="s">
        <v>462</v>
      </c>
      <c r="H127" s="67"/>
      <c r="I127" s="67"/>
      <c r="J127" s="64" t="s">
        <v>60</v>
      </c>
      <c r="K127" s="64">
        <v>1</v>
      </c>
      <c r="L127" s="64" t="s">
        <v>61</v>
      </c>
      <c r="M127" s="64"/>
      <c r="P127" s="64" t="s">
        <v>921</v>
      </c>
      <c r="Q127" s="64"/>
    </row>
    <row r="128" spans="1:17" hidden="1">
      <c r="A128" s="70" t="s">
        <v>459</v>
      </c>
      <c r="B128" s="64"/>
      <c r="C128" s="64"/>
      <c r="D128" s="64"/>
      <c r="E128" s="64"/>
      <c r="F128" s="64"/>
      <c r="G128" s="64" t="s">
        <v>463</v>
      </c>
      <c r="H128" s="67"/>
      <c r="I128" s="67"/>
      <c r="J128" s="64" t="s">
        <v>60</v>
      </c>
      <c r="K128" s="64">
        <v>2</v>
      </c>
      <c r="L128" s="64" t="s">
        <v>61</v>
      </c>
      <c r="M128" s="64"/>
      <c r="P128" s="64" t="s">
        <v>921</v>
      </c>
      <c r="Q128" s="64"/>
    </row>
    <row r="129" spans="1:17" hidden="1">
      <c r="A129" s="70" t="s">
        <v>459</v>
      </c>
      <c r="B129" s="64"/>
      <c r="C129" s="64"/>
      <c r="D129" s="64"/>
      <c r="E129" s="64"/>
      <c r="F129" s="64"/>
      <c r="G129" s="64" t="s">
        <v>464</v>
      </c>
      <c r="H129" s="67"/>
      <c r="I129" s="67"/>
      <c r="J129" s="64" t="s">
        <v>60</v>
      </c>
      <c r="K129" s="64">
        <v>3</v>
      </c>
      <c r="L129" s="64" t="s">
        <v>61</v>
      </c>
      <c r="M129" s="64"/>
      <c r="P129" s="64" t="s">
        <v>921</v>
      </c>
      <c r="Q129" s="64"/>
    </row>
    <row r="130" spans="1:17" hidden="1">
      <c r="A130" s="70" t="s">
        <v>459</v>
      </c>
      <c r="B130" s="64"/>
      <c r="C130" s="64"/>
      <c r="D130" s="64"/>
      <c r="E130" s="64"/>
      <c r="F130" s="64"/>
      <c r="G130" s="64" t="s">
        <v>460</v>
      </c>
      <c r="H130" s="67"/>
      <c r="I130" s="67"/>
      <c r="J130" s="64" t="s">
        <v>60</v>
      </c>
      <c r="K130" s="64">
        <v>0</v>
      </c>
      <c r="L130" s="64" t="s">
        <v>64</v>
      </c>
      <c r="M130" s="64"/>
      <c r="P130" s="64" t="s">
        <v>921</v>
      </c>
      <c r="Q130" s="64"/>
    </row>
    <row r="131" spans="1:17" hidden="1">
      <c r="A131" s="70" t="s">
        <v>459</v>
      </c>
      <c r="B131" s="64"/>
      <c r="C131" s="64"/>
      <c r="D131" s="64"/>
      <c r="E131" s="64"/>
      <c r="F131" s="64"/>
      <c r="G131" s="64" t="s">
        <v>462</v>
      </c>
      <c r="H131" s="67"/>
      <c r="I131" s="67"/>
      <c r="J131" s="64" t="s">
        <v>60</v>
      </c>
      <c r="K131" s="64">
        <v>1</v>
      </c>
      <c r="L131" s="64" t="s">
        <v>64</v>
      </c>
      <c r="M131" s="64"/>
      <c r="P131" s="64" t="s">
        <v>921</v>
      </c>
      <c r="Q131" s="64"/>
    </row>
    <row r="132" spans="1:17" hidden="1">
      <c r="A132" s="70" t="s">
        <v>459</v>
      </c>
      <c r="B132" s="64"/>
      <c r="C132" s="64"/>
      <c r="D132" s="64"/>
      <c r="E132" s="64"/>
      <c r="F132" s="64"/>
      <c r="G132" s="64" t="s">
        <v>463</v>
      </c>
      <c r="H132" s="67"/>
      <c r="I132" s="67"/>
      <c r="J132" s="64" t="s">
        <v>60</v>
      </c>
      <c r="K132" s="64">
        <v>2</v>
      </c>
      <c r="L132" s="64" t="s">
        <v>64</v>
      </c>
      <c r="M132" s="64"/>
      <c r="P132" s="64" t="s">
        <v>921</v>
      </c>
      <c r="Q132" s="64"/>
    </row>
    <row r="133" spans="1:17" hidden="1">
      <c r="A133" s="70" t="s">
        <v>459</v>
      </c>
      <c r="B133" s="64"/>
      <c r="C133" s="64"/>
      <c r="D133" s="64"/>
      <c r="E133" s="64"/>
      <c r="F133" s="64"/>
      <c r="G133" s="64" t="s">
        <v>464</v>
      </c>
      <c r="H133" s="67"/>
      <c r="I133" s="67"/>
      <c r="J133" s="64" t="s">
        <v>60</v>
      </c>
      <c r="K133" s="64">
        <v>3</v>
      </c>
      <c r="L133" s="64" t="s">
        <v>64</v>
      </c>
      <c r="M133" s="64"/>
      <c r="P133" s="64" t="s">
        <v>921</v>
      </c>
      <c r="Q133" s="64"/>
    </row>
    <row r="134" spans="1:17" hidden="1">
      <c r="A134" s="70" t="s">
        <v>459</v>
      </c>
      <c r="B134" s="64"/>
      <c r="C134" s="64"/>
      <c r="D134" s="64"/>
      <c r="E134" s="64"/>
      <c r="F134" s="64"/>
      <c r="G134" s="64" t="s">
        <v>460</v>
      </c>
      <c r="H134" s="67"/>
      <c r="I134" s="67"/>
      <c r="J134" s="64" t="s">
        <v>60</v>
      </c>
      <c r="K134" s="64">
        <v>0</v>
      </c>
      <c r="L134" s="64" t="s">
        <v>65</v>
      </c>
      <c r="M134" s="64"/>
      <c r="P134" s="64" t="s">
        <v>921</v>
      </c>
      <c r="Q134" s="64"/>
    </row>
    <row r="135" spans="1:17" hidden="1">
      <c r="A135" s="70" t="s">
        <v>459</v>
      </c>
      <c r="B135" s="64"/>
      <c r="C135" s="64"/>
      <c r="D135" s="64"/>
      <c r="E135" s="64"/>
      <c r="F135" s="64"/>
      <c r="G135" s="64" t="s">
        <v>462</v>
      </c>
      <c r="H135" s="67"/>
      <c r="I135" s="67"/>
      <c r="J135" s="64" t="s">
        <v>60</v>
      </c>
      <c r="K135" s="64">
        <v>1</v>
      </c>
      <c r="L135" s="64" t="s">
        <v>65</v>
      </c>
      <c r="M135" s="64"/>
      <c r="P135" s="64" t="s">
        <v>921</v>
      </c>
      <c r="Q135" s="64"/>
    </row>
    <row r="136" spans="1:17" hidden="1">
      <c r="A136" s="70" t="s">
        <v>459</v>
      </c>
      <c r="B136" s="64"/>
      <c r="C136" s="64"/>
      <c r="D136" s="64"/>
      <c r="E136" s="64"/>
      <c r="F136" s="64"/>
      <c r="G136" s="64" t="s">
        <v>463</v>
      </c>
      <c r="H136" s="67"/>
      <c r="I136" s="67"/>
      <c r="J136" s="64" t="s">
        <v>60</v>
      </c>
      <c r="K136" s="64">
        <v>2</v>
      </c>
      <c r="L136" s="64" t="s">
        <v>65</v>
      </c>
      <c r="M136" s="64"/>
      <c r="P136" s="64" t="s">
        <v>921</v>
      </c>
      <c r="Q136" s="64"/>
    </row>
    <row r="137" spans="1:17" hidden="1">
      <c r="A137" s="70" t="s">
        <v>459</v>
      </c>
      <c r="B137" s="64"/>
      <c r="C137" s="64"/>
      <c r="D137" s="64"/>
      <c r="E137" s="64"/>
      <c r="F137" s="64"/>
      <c r="G137" s="64" t="s">
        <v>464</v>
      </c>
      <c r="H137" s="67"/>
      <c r="I137" s="67"/>
      <c r="J137" s="64" t="s">
        <v>60</v>
      </c>
      <c r="K137" s="64">
        <v>3</v>
      </c>
      <c r="L137" s="64" t="s">
        <v>65</v>
      </c>
      <c r="M137" s="64"/>
      <c r="P137" s="64" t="s">
        <v>921</v>
      </c>
      <c r="Q137" s="64"/>
    </row>
    <row r="138" spans="1:17" ht="84.95" hidden="1">
      <c r="A138" s="70" t="s">
        <v>465</v>
      </c>
      <c r="B138" s="64">
        <v>0</v>
      </c>
      <c r="C138" s="64"/>
      <c r="D138" s="64"/>
      <c r="E138" s="64"/>
      <c r="F138" s="64"/>
      <c r="G138" s="64" t="s">
        <v>466</v>
      </c>
      <c r="H138" s="67" t="s">
        <v>455</v>
      </c>
      <c r="I138" s="67" t="s">
        <v>432</v>
      </c>
      <c r="J138" s="64" t="s">
        <v>60</v>
      </c>
      <c r="K138" s="64">
        <v>0</v>
      </c>
      <c r="L138" s="64" t="s">
        <v>381</v>
      </c>
      <c r="M138" s="64"/>
      <c r="P138" s="71" t="s">
        <v>911</v>
      </c>
      <c r="Q138" s="64"/>
    </row>
    <row r="139" spans="1:17" ht="84.95" hidden="1">
      <c r="A139" s="70" t="s">
        <v>465</v>
      </c>
      <c r="B139" s="64">
        <v>5.6800000000000003E-2</v>
      </c>
      <c r="C139" s="64"/>
      <c r="D139" s="64"/>
      <c r="E139" s="64"/>
      <c r="F139" s="64"/>
      <c r="G139" s="64" t="s">
        <v>467</v>
      </c>
      <c r="H139" s="67" t="s">
        <v>455</v>
      </c>
      <c r="I139" s="67" t="s">
        <v>432</v>
      </c>
      <c r="J139" s="64" t="s">
        <v>60</v>
      </c>
      <c r="K139" s="64">
        <v>1</v>
      </c>
      <c r="L139" s="64" t="s">
        <v>381</v>
      </c>
      <c r="M139" s="64"/>
      <c r="P139" s="71" t="s">
        <v>911</v>
      </c>
      <c r="Q139" s="64"/>
    </row>
    <row r="140" spans="1:17" ht="84.95" hidden="1">
      <c r="A140" s="70" t="s">
        <v>465</v>
      </c>
      <c r="B140" s="64">
        <v>0.1215</v>
      </c>
      <c r="C140" s="64"/>
      <c r="D140" s="64"/>
      <c r="E140" s="64"/>
      <c r="F140" s="64"/>
      <c r="G140" s="64" t="s">
        <v>468</v>
      </c>
      <c r="H140" s="67" t="s">
        <v>455</v>
      </c>
      <c r="I140" s="67" t="s">
        <v>432</v>
      </c>
      <c r="J140" s="64" t="s">
        <v>60</v>
      </c>
      <c r="K140" s="64">
        <v>2</v>
      </c>
      <c r="L140" s="64" t="s">
        <v>381</v>
      </c>
      <c r="M140" s="64"/>
      <c r="P140" s="71" t="s">
        <v>911</v>
      </c>
      <c r="Q140" s="64"/>
    </row>
    <row r="141" spans="1:17" ht="84.95" hidden="1">
      <c r="A141" s="70" t="s">
        <v>465</v>
      </c>
      <c r="B141" s="64">
        <v>0.1215</v>
      </c>
      <c r="C141" s="64"/>
      <c r="D141" s="64"/>
      <c r="E141" s="64"/>
      <c r="F141" s="64"/>
      <c r="G141" s="64" t="s">
        <v>469</v>
      </c>
      <c r="H141" s="67" t="s">
        <v>455</v>
      </c>
      <c r="I141" s="67" t="s">
        <v>432</v>
      </c>
      <c r="J141" s="64" t="s">
        <v>60</v>
      </c>
      <c r="K141" s="64">
        <v>3</v>
      </c>
      <c r="L141" s="64" t="s">
        <v>381</v>
      </c>
      <c r="M141" s="64"/>
      <c r="P141" s="71" t="s">
        <v>911</v>
      </c>
      <c r="Q141" s="64"/>
    </row>
    <row r="142" spans="1:17" hidden="1">
      <c r="A142" s="70" t="s">
        <v>465</v>
      </c>
      <c r="B142" s="64"/>
      <c r="C142" s="64"/>
      <c r="D142" s="64"/>
      <c r="E142" s="64"/>
      <c r="F142" s="64"/>
      <c r="G142" s="64" t="s">
        <v>466</v>
      </c>
      <c r="H142" s="67"/>
      <c r="I142" s="67"/>
      <c r="J142" s="64" t="s">
        <v>60</v>
      </c>
      <c r="K142" s="64">
        <v>0</v>
      </c>
      <c r="L142" s="64" t="s">
        <v>61</v>
      </c>
      <c r="M142" s="64"/>
      <c r="P142" s="64" t="s">
        <v>921</v>
      </c>
      <c r="Q142" s="64"/>
    </row>
    <row r="143" spans="1:17" hidden="1">
      <c r="A143" s="70" t="s">
        <v>465</v>
      </c>
      <c r="B143" s="64"/>
      <c r="C143" s="64"/>
      <c r="D143" s="64"/>
      <c r="E143" s="64"/>
      <c r="F143" s="64"/>
      <c r="G143" s="64" t="s">
        <v>467</v>
      </c>
      <c r="H143" s="67"/>
      <c r="I143" s="67"/>
      <c r="J143" s="64" t="s">
        <v>60</v>
      </c>
      <c r="K143" s="64">
        <v>1</v>
      </c>
      <c r="L143" s="64" t="s">
        <v>61</v>
      </c>
      <c r="M143" s="64"/>
      <c r="P143" s="64" t="s">
        <v>921</v>
      </c>
      <c r="Q143" s="64"/>
    </row>
    <row r="144" spans="1:17" hidden="1">
      <c r="A144" s="70" t="s">
        <v>465</v>
      </c>
      <c r="B144" s="64"/>
      <c r="C144" s="64"/>
      <c r="D144" s="64"/>
      <c r="E144" s="64"/>
      <c r="F144" s="64"/>
      <c r="G144" s="64" t="s">
        <v>468</v>
      </c>
      <c r="H144" s="67"/>
      <c r="I144" s="67"/>
      <c r="J144" s="64" t="s">
        <v>60</v>
      </c>
      <c r="K144" s="64">
        <v>2</v>
      </c>
      <c r="L144" s="64" t="s">
        <v>61</v>
      </c>
      <c r="M144" s="64"/>
      <c r="P144" s="64" t="s">
        <v>921</v>
      </c>
      <c r="Q144" s="64"/>
    </row>
    <row r="145" spans="1:17" hidden="1">
      <c r="A145" s="70" t="s">
        <v>465</v>
      </c>
      <c r="B145" s="64"/>
      <c r="C145" s="64"/>
      <c r="D145" s="64"/>
      <c r="E145" s="64"/>
      <c r="F145" s="64"/>
      <c r="G145" s="64" t="s">
        <v>469</v>
      </c>
      <c r="H145" s="67"/>
      <c r="I145" s="67"/>
      <c r="J145" s="64" t="s">
        <v>60</v>
      </c>
      <c r="K145" s="64">
        <v>3</v>
      </c>
      <c r="L145" s="64" t="s">
        <v>61</v>
      </c>
      <c r="M145" s="64"/>
      <c r="P145" s="64" t="s">
        <v>921</v>
      </c>
      <c r="Q145" s="64"/>
    </row>
    <row r="146" spans="1:17" hidden="1">
      <c r="A146" s="70" t="s">
        <v>465</v>
      </c>
      <c r="B146" s="64"/>
      <c r="C146" s="64"/>
      <c r="D146" s="64"/>
      <c r="E146" s="64"/>
      <c r="F146" s="64"/>
      <c r="G146" s="64" t="s">
        <v>466</v>
      </c>
      <c r="H146" s="67"/>
      <c r="I146" s="67"/>
      <c r="J146" s="64" t="s">
        <v>60</v>
      </c>
      <c r="K146" s="64">
        <v>0</v>
      </c>
      <c r="L146" s="64" t="s">
        <v>64</v>
      </c>
      <c r="M146" s="64"/>
      <c r="P146" s="64" t="s">
        <v>921</v>
      </c>
      <c r="Q146" s="64"/>
    </row>
    <row r="147" spans="1:17" hidden="1">
      <c r="A147" s="70" t="s">
        <v>465</v>
      </c>
      <c r="B147" s="64"/>
      <c r="C147" s="64"/>
      <c r="D147" s="64"/>
      <c r="E147" s="64"/>
      <c r="F147" s="64"/>
      <c r="G147" s="64" t="s">
        <v>467</v>
      </c>
      <c r="H147" s="67"/>
      <c r="I147" s="67"/>
      <c r="J147" s="64" t="s">
        <v>60</v>
      </c>
      <c r="K147" s="64">
        <v>1</v>
      </c>
      <c r="L147" s="64" t="s">
        <v>64</v>
      </c>
      <c r="M147" s="64"/>
      <c r="P147" s="64" t="s">
        <v>921</v>
      </c>
      <c r="Q147" s="64"/>
    </row>
    <row r="148" spans="1:17" hidden="1">
      <c r="A148" s="70" t="s">
        <v>465</v>
      </c>
      <c r="B148" s="64"/>
      <c r="C148" s="64"/>
      <c r="D148" s="64"/>
      <c r="E148" s="64"/>
      <c r="F148" s="64"/>
      <c r="G148" s="64" t="s">
        <v>468</v>
      </c>
      <c r="H148" s="67"/>
      <c r="I148" s="67"/>
      <c r="J148" s="64" t="s">
        <v>60</v>
      </c>
      <c r="K148" s="64">
        <v>2</v>
      </c>
      <c r="L148" s="64" t="s">
        <v>64</v>
      </c>
      <c r="M148" s="64"/>
      <c r="P148" s="64" t="s">
        <v>921</v>
      </c>
      <c r="Q148" s="64"/>
    </row>
    <row r="149" spans="1:17" hidden="1">
      <c r="A149" s="70" t="s">
        <v>465</v>
      </c>
      <c r="B149" s="64"/>
      <c r="C149" s="64"/>
      <c r="D149" s="64"/>
      <c r="E149" s="64"/>
      <c r="F149" s="64"/>
      <c r="G149" s="64" t="s">
        <v>469</v>
      </c>
      <c r="H149" s="67"/>
      <c r="I149" s="67"/>
      <c r="J149" s="64" t="s">
        <v>60</v>
      </c>
      <c r="K149" s="64">
        <v>3</v>
      </c>
      <c r="L149" s="64" t="s">
        <v>64</v>
      </c>
      <c r="M149" s="64"/>
      <c r="P149" s="64" t="s">
        <v>921</v>
      </c>
      <c r="Q149" s="64"/>
    </row>
    <row r="150" spans="1:17" hidden="1">
      <c r="A150" s="70" t="s">
        <v>465</v>
      </c>
      <c r="B150" s="64"/>
      <c r="C150" s="64"/>
      <c r="D150" s="64"/>
      <c r="E150" s="64"/>
      <c r="F150" s="64"/>
      <c r="G150" s="64" t="s">
        <v>466</v>
      </c>
      <c r="H150" s="67"/>
      <c r="I150" s="67"/>
      <c r="J150" s="64" t="s">
        <v>60</v>
      </c>
      <c r="K150" s="64">
        <v>0</v>
      </c>
      <c r="L150" s="64" t="s">
        <v>65</v>
      </c>
      <c r="M150" s="64"/>
      <c r="P150" s="64" t="s">
        <v>921</v>
      </c>
      <c r="Q150" s="64"/>
    </row>
    <row r="151" spans="1:17" hidden="1">
      <c r="A151" s="70" t="s">
        <v>465</v>
      </c>
      <c r="B151" s="64"/>
      <c r="C151" s="64"/>
      <c r="D151" s="64"/>
      <c r="E151" s="64"/>
      <c r="F151" s="64"/>
      <c r="G151" s="64" t="s">
        <v>467</v>
      </c>
      <c r="H151" s="67"/>
      <c r="I151" s="67"/>
      <c r="J151" s="64" t="s">
        <v>60</v>
      </c>
      <c r="K151" s="64">
        <v>1</v>
      </c>
      <c r="L151" s="64" t="s">
        <v>65</v>
      </c>
      <c r="M151" s="64"/>
      <c r="P151" s="64" t="s">
        <v>921</v>
      </c>
      <c r="Q151" s="64"/>
    </row>
    <row r="152" spans="1:17" hidden="1">
      <c r="A152" s="70" t="s">
        <v>465</v>
      </c>
      <c r="B152" s="64"/>
      <c r="C152" s="64"/>
      <c r="D152" s="64"/>
      <c r="E152" s="64"/>
      <c r="F152" s="64"/>
      <c r="G152" s="64" t="s">
        <v>468</v>
      </c>
      <c r="H152" s="67"/>
      <c r="I152" s="67"/>
      <c r="J152" s="64" t="s">
        <v>60</v>
      </c>
      <c r="K152" s="64">
        <v>2</v>
      </c>
      <c r="L152" s="64" t="s">
        <v>65</v>
      </c>
      <c r="M152" s="64"/>
      <c r="P152" s="64" t="s">
        <v>921</v>
      </c>
      <c r="Q152" s="64"/>
    </row>
    <row r="153" spans="1:17" hidden="1">
      <c r="A153" s="70" t="s">
        <v>465</v>
      </c>
      <c r="B153" s="64"/>
      <c r="C153" s="64"/>
      <c r="D153" s="64"/>
      <c r="E153" s="64"/>
      <c r="F153" s="64"/>
      <c r="G153" s="64" t="s">
        <v>469</v>
      </c>
      <c r="H153" s="67"/>
      <c r="I153" s="67"/>
      <c r="J153" s="64" t="s">
        <v>60</v>
      </c>
      <c r="K153" s="64">
        <v>3</v>
      </c>
      <c r="L153" s="64" t="s">
        <v>65</v>
      </c>
      <c r="M153" s="64"/>
      <c r="P153" s="64" t="s">
        <v>921</v>
      </c>
      <c r="Q153" s="64"/>
    </row>
    <row r="154" spans="1:17" ht="84.95" hidden="1">
      <c r="A154" s="70" t="s">
        <v>470</v>
      </c>
      <c r="B154" s="64">
        <v>0</v>
      </c>
      <c r="C154" s="64"/>
      <c r="D154" s="64"/>
      <c r="E154" s="64"/>
      <c r="F154" s="64"/>
      <c r="G154" s="64" t="s">
        <v>471</v>
      </c>
      <c r="H154" s="67" t="s">
        <v>461</v>
      </c>
      <c r="I154" s="67" t="s">
        <v>432</v>
      </c>
      <c r="J154" s="64" t="s">
        <v>60</v>
      </c>
      <c r="K154" s="64">
        <v>0</v>
      </c>
      <c r="L154" s="64" t="s">
        <v>381</v>
      </c>
      <c r="M154" s="64"/>
      <c r="P154" s="71" t="s">
        <v>911</v>
      </c>
      <c r="Q154" s="64"/>
    </row>
    <row r="155" spans="1:17" ht="84.95" hidden="1">
      <c r="A155" s="70" t="s">
        <v>470</v>
      </c>
      <c r="B155" s="64">
        <v>0</v>
      </c>
      <c r="C155" s="64"/>
      <c r="D155" s="64"/>
      <c r="E155" s="64"/>
      <c r="F155" s="64"/>
      <c r="G155" s="64" t="s">
        <v>472</v>
      </c>
      <c r="H155" s="67"/>
      <c r="I155" s="67" t="s">
        <v>432</v>
      </c>
      <c r="J155" s="64" t="s">
        <v>60</v>
      </c>
      <c r="K155" s="64">
        <v>1</v>
      </c>
      <c r="L155" s="64" t="s">
        <v>381</v>
      </c>
      <c r="M155" s="64"/>
      <c r="P155" s="71" t="s">
        <v>911</v>
      </c>
      <c r="Q155" s="64"/>
    </row>
    <row r="156" spans="1:17" ht="84.95" hidden="1">
      <c r="A156" s="70" t="s">
        <v>470</v>
      </c>
      <c r="B156" s="64">
        <v>0.1215</v>
      </c>
      <c r="C156" s="64"/>
      <c r="D156" s="64"/>
      <c r="E156" s="64"/>
      <c r="F156" s="64"/>
      <c r="G156" s="64" t="s">
        <v>473</v>
      </c>
      <c r="H156" s="67" t="s">
        <v>461</v>
      </c>
      <c r="I156" s="67" t="s">
        <v>432</v>
      </c>
      <c r="J156" s="64" t="s">
        <v>60</v>
      </c>
      <c r="K156" s="64">
        <v>2</v>
      </c>
      <c r="L156" s="64" t="s">
        <v>381</v>
      </c>
      <c r="M156" s="64"/>
      <c r="P156" s="71" t="s">
        <v>911</v>
      </c>
      <c r="Q156" s="64"/>
    </row>
    <row r="157" spans="1:17" ht="84.95" hidden="1">
      <c r="A157" s="70" t="s">
        <v>470</v>
      </c>
      <c r="B157" s="64">
        <v>0.1215</v>
      </c>
      <c r="C157" s="64"/>
      <c r="D157" s="64"/>
      <c r="E157" s="64"/>
      <c r="F157" s="64"/>
      <c r="G157" s="64" t="s">
        <v>474</v>
      </c>
      <c r="H157" s="67" t="s">
        <v>461</v>
      </c>
      <c r="I157" s="67" t="s">
        <v>432</v>
      </c>
      <c r="J157" s="64" t="s">
        <v>60</v>
      </c>
      <c r="K157" s="64">
        <v>3</v>
      </c>
      <c r="L157" s="64" t="s">
        <v>381</v>
      </c>
      <c r="M157" s="64"/>
      <c r="P157" s="71" t="s">
        <v>911</v>
      </c>
      <c r="Q157" s="64"/>
    </row>
    <row r="158" spans="1:17" hidden="1">
      <c r="A158" s="70" t="s">
        <v>470</v>
      </c>
      <c r="B158" s="64"/>
      <c r="C158" s="64"/>
      <c r="D158" s="64"/>
      <c r="E158" s="64"/>
      <c r="F158" s="64"/>
      <c r="G158" s="64" t="s">
        <v>471</v>
      </c>
      <c r="H158" s="67"/>
      <c r="I158" s="67"/>
      <c r="J158" s="64" t="s">
        <v>60</v>
      </c>
      <c r="K158" s="64">
        <v>0</v>
      </c>
      <c r="L158" s="64" t="s">
        <v>61</v>
      </c>
      <c r="M158" s="64"/>
      <c r="P158" s="64" t="s">
        <v>921</v>
      </c>
      <c r="Q158" s="64"/>
    </row>
    <row r="159" spans="1:17" hidden="1">
      <c r="A159" s="70" t="s">
        <v>470</v>
      </c>
      <c r="B159" s="64"/>
      <c r="C159" s="64"/>
      <c r="D159" s="64"/>
      <c r="E159" s="64"/>
      <c r="F159" s="64"/>
      <c r="G159" s="64" t="s">
        <v>472</v>
      </c>
      <c r="H159" s="67"/>
      <c r="I159" s="67"/>
      <c r="J159" s="64" t="s">
        <v>60</v>
      </c>
      <c r="K159" s="64">
        <v>1</v>
      </c>
      <c r="L159" s="64" t="s">
        <v>61</v>
      </c>
      <c r="M159" s="64"/>
      <c r="P159" s="64" t="s">
        <v>921</v>
      </c>
      <c r="Q159" s="64"/>
    </row>
    <row r="160" spans="1:17" hidden="1">
      <c r="A160" s="70" t="s">
        <v>470</v>
      </c>
      <c r="B160" s="64"/>
      <c r="C160" s="64"/>
      <c r="D160" s="64"/>
      <c r="E160" s="64"/>
      <c r="F160" s="64"/>
      <c r="G160" s="64" t="s">
        <v>473</v>
      </c>
      <c r="H160" s="67"/>
      <c r="I160" s="67"/>
      <c r="J160" s="64" t="s">
        <v>60</v>
      </c>
      <c r="K160" s="64">
        <v>2</v>
      </c>
      <c r="L160" s="64" t="s">
        <v>61</v>
      </c>
      <c r="M160" s="64"/>
      <c r="P160" s="64" t="s">
        <v>921</v>
      </c>
      <c r="Q160" s="64"/>
    </row>
    <row r="161" spans="1:17" hidden="1">
      <c r="A161" s="70" t="s">
        <v>470</v>
      </c>
      <c r="B161" s="64"/>
      <c r="C161" s="64"/>
      <c r="D161" s="64"/>
      <c r="E161" s="64"/>
      <c r="F161" s="64"/>
      <c r="G161" s="64" t="s">
        <v>474</v>
      </c>
      <c r="H161" s="67"/>
      <c r="I161" s="67"/>
      <c r="J161" s="64" t="s">
        <v>60</v>
      </c>
      <c r="K161" s="64">
        <v>3</v>
      </c>
      <c r="L161" s="64" t="s">
        <v>61</v>
      </c>
      <c r="M161" s="64"/>
      <c r="P161" s="64" t="s">
        <v>921</v>
      </c>
      <c r="Q161" s="64"/>
    </row>
    <row r="162" spans="1:17" hidden="1">
      <c r="A162" s="70" t="s">
        <v>470</v>
      </c>
      <c r="B162" s="64"/>
      <c r="C162" s="64"/>
      <c r="D162" s="64"/>
      <c r="E162" s="64"/>
      <c r="F162" s="64"/>
      <c r="G162" s="64" t="s">
        <v>471</v>
      </c>
      <c r="H162" s="67"/>
      <c r="I162" s="67"/>
      <c r="J162" s="64" t="s">
        <v>60</v>
      </c>
      <c r="K162" s="64">
        <v>0</v>
      </c>
      <c r="L162" s="64" t="s">
        <v>64</v>
      </c>
      <c r="M162" s="64"/>
      <c r="P162" s="64" t="s">
        <v>921</v>
      </c>
      <c r="Q162" s="64"/>
    </row>
    <row r="163" spans="1:17" hidden="1">
      <c r="A163" s="70" t="s">
        <v>470</v>
      </c>
      <c r="B163" s="64"/>
      <c r="C163" s="64"/>
      <c r="D163" s="64"/>
      <c r="E163" s="64"/>
      <c r="F163" s="64"/>
      <c r="G163" s="64" t="s">
        <v>472</v>
      </c>
      <c r="H163" s="67"/>
      <c r="I163" s="67"/>
      <c r="J163" s="64" t="s">
        <v>60</v>
      </c>
      <c r="K163" s="64">
        <v>1</v>
      </c>
      <c r="L163" s="64" t="s">
        <v>64</v>
      </c>
      <c r="M163" s="64"/>
      <c r="P163" s="64" t="s">
        <v>921</v>
      </c>
      <c r="Q163" s="64"/>
    </row>
    <row r="164" spans="1:17" hidden="1">
      <c r="A164" s="70" t="s">
        <v>470</v>
      </c>
      <c r="B164" s="64"/>
      <c r="C164" s="64"/>
      <c r="D164" s="64"/>
      <c r="E164" s="64"/>
      <c r="F164" s="64"/>
      <c r="G164" s="64" t="s">
        <v>473</v>
      </c>
      <c r="H164" s="67"/>
      <c r="I164" s="67"/>
      <c r="J164" s="64" t="s">
        <v>60</v>
      </c>
      <c r="K164" s="64">
        <v>2</v>
      </c>
      <c r="L164" s="64" t="s">
        <v>64</v>
      </c>
      <c r="M164" s="64"/>
      <c r="P164" s="64" t="s">
        <v>921</v>
      </c>
      <c r="Q164" s="64"/>
    </row>
    <row r="165" spans="1:17" hidden="1">
      <c r="A165" s="70" t="s">
        <v>470</v>
      </c>
      <c r="B165" s="64"/>
      <c r="C165" s="64"/>
      <c r="D165" s="64"/>
      <c r="E165" s="64"/>
      <c r="F165" s="64"/>
      <c r="G165" s="64" t="s">
        <v>474</v>
      </c>
      <c r="H165" s="67"/>
      <c r="I165" s="67"/>
      <c r="J165" s="64" t="s">
        <v>60</v>
      </c>
      <c r="K165" s="64">
        <v>3</v>
      </c>
      <c r="L165" s="64" t="s">
        <v>64</v>
      </c>
      <c r="M165" s="64"/>
      <c r="P165" s="64" t="s">
        <v>921</v>
      </c>
      <c r="Q165" s="64"/>
    </row>
    <row r="166" spans="1:17" hidden="1">
      <c r="A166" s="70" t="s">
        <v>470</v>
      </c>
      <c r="B166" s="64"/>
      <c r="C166" s="64"/>
      <c r="D166" s="64"/>
      <c r="E166" s="64"/>
      <c r="F166" s="64"/>
      <c r="G166" s="64" t="s">
        <v>471</v>
      </c>
      <c r="H166" s="67"/>
      <c r="I166" s="67"/>
      <c r="J166" s="64" t="s">
        <v>60</v>
      </c>
      <c r="K166" s="64">
        <v>0</v>
      </c>
      <c r="L166" s="64" t="s">
        <v>65</v>
      </c>
      <c r="M166" s="64"/>
      <c r="P166" s="64" t="s">
        <v>921</v>
      </c>
      <c r="Q166" s="64"/>
    </row>
    <row r="167" spans="1:17" hidden="1">
      <c r="A167" s="70" t="s">
        <v>470</v>
      </c>
      <c r="B167" s="64"/>
      <c r="C167" s="64"/>
      <c r="D167" s="64"/>
      <c r="E167" s="64"/>
      <c r="F167" s="64"/>
      <c r="G167" s="64" t="s">
        <v>472</v>
      </c>
      <c r="H167" s="67"/>
      <c r="I167" s="67"/>
      <c r="J167" s="64" t="s">
        <v>60</v>
      </c>
      <c r="K167" s="64">
        <v>1</v>
      </c>
      <c r="L167" s="64" t="s">
        <v>65</v>
      </c>
      <c r="M167" s="64"/>
      <c r="P167" s="64" t="s">
        <v>921</v>
      </c>
      <c r="Q167" s="64"/>
    </row>
    <row r="168" spans="1:17" hidden="1">
      <c r="A168" s="70" t="s">
        <v>470</v>
      </c>
      <c r="B168" s="64"/>
      <c r="C168" s="64"/>
      <c r="D168" s="64"/>
      <c r="E168" s="64"/>
      <c r="F168" s="64"/>
      <c r="G168" s="64" t="s">
        <v>473</v>
      </c>
      <c r="H168" s="67"/>
      <c r="I168" s="67"/>
      <c r="J168" s="64" t="s">
        <v>60</v>
      </c>
      <c r="K168" s="64">
        <v>2</v>
      </c>
      <c r="L168" s="64" t="s">
        <v>65</v>
      </c>
      <c r="M168" s="64"/>
      <c r="P168" s="64" t="s">
        <v>921</v>
      </c>
      <c r="Q168" s="64"/>
    </row>
    <row r="169" spans="1:17" hidden="1">
      <c r="A169" s="70" t="s">
        <v>470</v>
      </c>
      <c r="B169" s="64"/>
      <c r="C169" s="64"/>
      <c r="D169" s="64"/>
      <c r="E169" s="64"/>
      <c r="F169" s="64"/>
      <c r="G169" s="64" t="s">
        <v>474</v>
      </c>
      <c r="H169" s="67"/>
      <c r="I169" s="67"/>
      <c r="J169" s="64" t="s">
        <v>60</v>
      </c>
      <c r="K169" s="64">
        <v>3</v>
      </c>
      <c r="L169" s="64" t="s">
        <v>65</v>
      </c>
      <c r="M169" s="64"/>
      <c r="P169" s="64" t="s">
        <v>921</v>
      </c>
      <c r="Q169" s="64"/>
    </row>
    <row r="170" spans="1:17" ht="84.95" hidden="1">
      <c r="A170" s="70" t="s">
        <v>475</v>
      </c>
      <c r="B170" s="64">
        <v>5.3E-3</v>
      </c>
      <c r="C170" s="64"/>
      <c r="D170" s="64"/>
      <c r="E170" s="64"/>
      <c r="F170" s="64"/>
      <c r="G170" s="64" t="s">
        <v>476</v>
      </c>
      <c r="H170" s="67"/>
      <c r="I170" s="67" t="s">
        <v>477</v>
      </c>
      <c r="J170" s="64" t="s">
        <v>60</v>
      </c>
      <c r="K170" s="64"/>
      <c r="L170" s="64" t="s">
        <v>381</v>
      </c>
      <c r="M170" s="64"/>
      <c r="P170" s="71" t="s">
        <v>911</v>
      </c>
      <c r="Q170" s="64"/>
    </row>
    <row r="171" spans="1:17" hidden="1">
      <c r="A171" s="70" t="s">
        <v>475</v>
      </c>
      <c r="B171" s="64"/>
      <c r="C171" s="64"/>
      <c r="D171" s="64"/>
      <c r="E171" s="64"/>
      <c r="F171" s="64"/>
      <c r="G171" s="64" t="s">
        <v>476</v>
      </c>
      <c r="H171" s="67"/>
      <c r="I171" s="67"/>
      <c r="J171" s="64" t="s">
        <v>60</v>
      </c>
      <c r="K171" s="64"/>
      <c r="L171" s="64" t="s">
        <v>61</v>
      </c>
      <c r="M171" s="64"/>
      <c r="P171" s="64" t="s">
        <v>921</v>
      </c>
      <c r="Q171" s="64"/>
    </row>
    <row r="172" spans="1:17" hidden="1">
      <c r="A172" s="70" t="s">
        <v>475</v>
      </c>
      <c r="B172" s="64"/>
      <c r="C172" s="64"/>
      <c r="D172" s="64"/>
      <c r="E172" s="64"/>
      <c r="F172" s="64"/>
      <c r="G172" s="64" t="s">
        <v>476</v>
      </c>
      <c r="H172" s="67"/>
      <c r="I172" s="67"/>
      <c r="J172" s="64" t="s">
        <v>60</v>
      </c>
      <c r="K172" s="64"/>
      <c r="L172" s="64" t="s">
        <v>64</v>
      </c>
      <c r="M172" s="64"/>
      <c r="P172" s="64" t="s">
        <v>921</v>
      </c>
      <c r="Q172" s="64"/>
    </row>
    <row r="173" spans="1:17" hidden="1">
      <c r="A173" s="70" t="s">
        <v>475</v>
      </c>
      <c r="B173" s="64"/>
      <c r="C173" s="64"/>
      <c r="D173" s="64"/>
      <c r="E173" s="64"/>
      <c r="F173" s="64"/>
      <c r="G173" s="64" t="s">
        <v>476</v>
      </c>
      <c r="H173" s="67"/>
      <c r="I173" s="67"/>
      <c r="J173" s="64" t="s">
        <v>60</v>
      </c>
      <c r="K173" s="64"/>
      <c r="L173" s="64" t="s">
        <v>65</v>
      </c>
      <c r="M173" s="64"/>
      <c r="P173" s="64" t="s">
        <v>921</v>
      </c>
      <c r="Q173" s="64"/>
    </row>
    <row r="174" spans="1:17" ht="84.95" hidden="1">
      <c r="A174" s="70" t="s">
        <v>478</v>
      </c>
      <c r="B174" s="64">
        <v>2</v>
      </c>
      <c r="C174" s="64"/>
      <c r="D174" s="64"/>
      <c r="E174" s="64"/>
      <c r="F174" s="64"/>
      <c r="G174" s="64" t="s">
        <v>479</v>
      </c>
      <c r="H174" s="67"/>
      <c r="I174" s="67" t="s">
        <v>477</v>
      </c>
      <c r="J174" s="64" t="s">
        <v>60</v>
      </c>
      <c r="K174" s="64"/>
      <c r="L174" s="64" t="s">
        <v>381</v>
      </c>
      <c r="M174" s="64"/>
      <c r="P174" s="71" t="s">
        <v>911</v>
      </c>
      <c r="Q174" s="64"/>
    </row>
    <row r="175" spans="1:17" hidden="1">
      <c r="A175" s="70" t="s">
        <v>478</v>
      </c>
      <c r="B175" s="64"/>
      <c r="C175" s="64"/>
      <c r="D175" s="64"/>
      <c r="E175" s="64"/>
      <c r="F175" s="64"/>
      <c r="G175" s="64" t="s">
        <v>479</v>
      </c>
      <c r="H175" s="67"/>
      <c r="I175" s="67"/>
      <c r="J175" s="64" t="s">
        <v>60</v>
      </c>
      <c r="K175" s="64"/>
      <c r="L175" s="64" t="s">
        <v>61</v>
      </c>
      <c r="M175" s="64"/>
      <c r="P175" s="64" t="s">
        <v>921</v>
      </c>
      <c r="Q175" s="64"/>
    </row>
    <row r="176" spans="1:17" hidden="1">
      <c r="A176" s="70" t="s">
        <v>478</v>
      </c>
      <c r="B176" s="64"/>
      <c r="C176" s="64"/>
      <c r="D176" s="64"/>
      <c r="E176" s="64"/>
      <c r="F176" s="64"/>
      <c r="G176" s="64" t="s">
        <v>479</v>
      </c>
      <c r="H176" s="67"/>
      <c r="I176" s="67"/>
      <c r="J176" s="64" t="s">
        <v>60</v>
      </c>
      <c r="K176" s="64"/>
      <c r="L176" s="64" t="s">
        <v>64</v>
      </c>
      <c r="M176" s="64"/>
      <c r="P176" s="64" t="s">
        <v>921</v>
      </c>
      <c r="Q176" s="64"/>
    </row>
    <row r="177" spans="1:17" hidden="1">
      <c r="A177" s="70" t="s">
        <v>478</v>
      </c>
      <c r="B177" s="64"/>
      <c r="C177" s="64"/>
      <c r="D177" s="64"/>
      <c r="E177" s="64"/>
      <c r="F177" s="64"/>
      <c r="G177" s="64" t="s">
        <v>479</v>
      </c>
      <c r="H177" s="67"/>
      <c r="I177" s="67"/>
      <c r="J177" s="64" t="s">
        <v>60</v>
      </c>
      <c r="K177" s="64"/>
      <c r="L177" s="64" t="s">
        <v>65</v>
      </c>
      <c r="M177" s="64"/>
      <c r="P177" s="64" t="s">
        <v>921</v>
      </c>
      <c r="Q177" s="64"/>
    </row>
    <row r="178" spans="1:17" ht="84.95" hidden="1">
      <c r="A178" s="70" t="s">
        <v>480</v>
      </c>
      <c r="B178" s="64">
        <v>0.47599999999999998</v>
      </c>
      <c r="C178" s="64"/>
      <c r="D178" s="64"/>
      <c r="E178" s="64"/>
      <c r="F178" s="64"/>
      <c r="G178" s="64" t="s">
        <v>481</v>
      </c>
      <c r="H178" s="67"/>
      <c r="I178" s="67" t="s">
        <v>477</v>
      </c>
      <c r="J178" s="64" t="s">
        <v>60</v>
      </c>
      <c r="K178" s="64"/>
      <c r="L178" s="64" t="s">
        <v>381</v>
      </c>
      <c r="M178" s="64"/>
      <c r="P178" s="71" t="s">
        <v>911</v>
      </c>
      <c r="Q178" s="64"/>
    </row>
    <row r="179" spans="1:17" hidden="1">
      <c r="A179" s="70" t="s">
        <v>480</v>
      </c>
      <c r="B179" s="64"/>
      <c r="C179" s="64"/>
      <c r="D179" s="64"/>
      <c r="E179" s="64"/>
      <c r="F179" s="64"/>
      <c r="G179" s="64" t="s">
        <v>481</v>
      </c>
      <c r="H179" s="67"/>
      <c r="I179" s="67"/>
      <c r="J179" s="64" t="s">
        <v>60</v>
      </c>
      <c r="K179" s="64"/>
      <c r="L179" s="64" t="s">
        <v>61</v>
      </c>
      <c r="M179" s="64"/>
      <c r="P179" s="64" t="s">
        <v>921</v>
      </c>
      <c r="Q179" s="64"/>
    </row>
    <row r="180" spans="1:17" hidden="1">
      <c r="A180" s="70" t="s">
        <v>480</v>
      </c>
      <c r="B180" s="64"/>
      <c r="C180" s="64"/>
      <c r="D180" s="64"/>
      <c r="E180" s="64"/>
      <c r="F180" s="64"/>
      <c r="G180" s="64" t="s">
        <v>481</v>
      </c>
      <c r="H180" s="67"/>
      <c r="I180" s="67"/>
      <c r="J180" s="64" t="s">
        <v>60</v>
      </c>
      <c r="K180" s="64"/>
      <c r="L180" s="64" t="s">
        <v>64</v>
      </c>
      <c r="M180" s="64"/>
      <c r="P180" s="64" t="s">
        <v>921</v>
      </c>
      <c r="Q180" s="64"/>
    </row>
    <row r="181" spans="1:17" hidden="1">
      <c r="A181" s="70" t="s">
        <v>480</v>
      </c>
      <c r="B181" s="64"/>
      <c r="C181" s="64"/>
      <c r="D181" s="64"/>
      <c r="E181" s="64"/>
      <c r="F181" s="64"/>
      <c r="G181" s="64" t="s">
        <v>481</v>
      </c>
      <c r="H181" s="67"/>
      <c r="I181" s="67"/>
      <c r="J181" s="64" t="s">
        <v>60</v>
      </c>
      <c r="K181" s="64"/>
      <c r="L181" s="64" t="s">
        <v>65</v>
      </c>
      <c r="M181" s="64"/>
      <c r="P181" s="64" t="s">
        <v>921</v>
      </c>
      <c r="Q181" s="64"/>
    </row>
    <row r="182" spans="1:17" ht="84.95" hidden="1">
      <c r="A182" s="70" t="s">
        <v>482</v>
      </c>
      <c r="B182" s="64">
        <v>2</v>
      </c>
      <c r="C182" s="64"/>
      <c r="D182" s="64"/>
      <c r="E182" s="64"/>
      <c r="F182" s="64"/>
      <c r="G182" s="64" t="s">
        <v>483</v>
      </c>
      <c r="H182" s="67"/>
      <c r="I182" s="67" t="s">
        <v>477</v>
      </c>
      <c r="J182" s="64" t="s">
        <v>60</v>
      </c>
      <c r="K182" s="64"/>
      <c r="L182" s="64" t="s">
        <v>381</v>
      </c>
      <c r="M182" s="64"/>
      <c r="P182" s="71" t="s">
        <v>911</v>
      </c>
      <c r="Q182" s="64"/>
    </row>
    <row r="183" spans="1:17" hidden="1">
      <c r="A183" s="70" t="s">
        <v>482</v>
      </c>
      <c r="B183" s="64"/>
      <c r="C183" s="64"/>
      <c r="D183" s="64"/>
      <c r="E183" s="64"/>
      <c r="F183" s="64"/>
      <c r="G183" s="64" t="s">
        <v>483</v>
      </c>
      <c r="H183" s="67"/>
      <c r="I183" s="67"/>
      <c r="J183" s="64" t="s">
        <v>60</v>
      </c>
      <c r="K183" s="64"/>
      <c r="L183" s="64" t="s">
        <v>61</v>
      </c>
      <c r="M183" s="64"/>
      <c r="P183" s="64" t="s">
        <v>921</v>
      </c>
      <c r="Q183" s="64"/>
    </row>
    <row r="184" spans="1:17" hidden="1">
      <c r="A184" s="70" t="s">
        <v>482</v>
      </c>
      <c r="B184" s="64"/>
      <c r="C184" s="64"/>
      <c r="D184" s="64"/>
      <c r="E184" s="64"/>
      <c r="F184" s="64"/>
      <c r="G184" s="64" t="s">
        <v>483</v>
      </c>
      <c r="H184" s="67"/>
      <c r="I184" s="67"/>
      <c r="J184" s="64" t="s">
        <v>60</v>
      </c>
      <c r="K184" s="64"/>
      <c r="L184" s="64" t="s">
        <v>64</v>
      </c>
      <c r="M184" s="64"/>
      <c r="P184" s="64" t="s">
        <v>921</v>
      </c>
      <c r="Q184" s="64"/>
    </row>
    <row r="185" spans="1:17" hidden="1">
      <c r="A185" s="70" t="s">
        <v>482</v>
      </c>
      <c r="B185" s="64"/>
      <c r="C185" s="64"/>
      <c r="D185" s="64"/>
      <c r="E185" s="64"/>
      <c r="F185" s="64"/>
      <c r="G185" s="64" t="s">
        <v>483</v>
      </c>
      <c r="H185" s="67"/>
      <c r="I185" s="67"/>
      <c r="J185" s="64" t="s">
        <v>60</v>
      </c>
      <c r="K185" s="64"/>
      <c r="L185" s="64" t="s">
        <v>65</v>
      </c>
      <c r="M185" s="64"/>
      <c r="P185" s="64" t="s">
        <v>921</v>
      </c>
      <c r="Q185" s="64"/>
    </row>
    <row r="186" spans="1:17" ht="84.95" hidden="1">
      <c r="A186" s="70" t="s">
        <v>484</v>
      </c>
      <c r="B186" s="64">
        <v>0.1855</v>
      </c>
      <c r="C186" s="64"/>
      <c r="D186" s="64"/>
      <c r="E186" s="64"/>
      <c r="F186" s="64"/>
      <c r="G186" s="64" t="s">
        <v>485</v>
      </c>
      <c r="H186" s="67"/>
      <c r="I186" s="67" t="s">
        <v>477</v>
      </c>
      <c r="J186" s="64" t="s">
        <v>60</v>
      </c>
      <c r="K186" s="64"/>
      <c r="L186" s="64" t="s">
        <v>381</v>
      </c>
      <c r="M186" s="64"/>
      <c r="P186" s="71" t="s">
        <v>911</v>
      </c>
      <c r="Q186" s="64"/>
    </row>
    <row r="187" spans="1:17" hidden="1">
      <c r="A187" s="70" t="s">
        <v>484</v>
      </c>
      <c r="B187" s="64"/>
      <c r="C187" s="64"/>
      <c r="D187" s="64"/>
      <c r="E187" s="64"/>
      <c r="F187" s="64"/>
      <c r="G187" s="64" t="s">
        <v>485</v>
      </c>
      <c r="H187" s="67"/>
      <c r="I187" s="67"/>
      <c r="J187" s="64" t="s">
        <v>60</v>
      </c>
      <c r="K187" s="64"/>
      <c r="L187" s="64" t="s">
        <v>61</v>
      </c>
      <c r="M187" s="64"/>
      <c r="P187" s="64" t="s">
        <v>921</v>
      </c>
      <c r="Q187" s="64"/>
    </row>
    <row r="188" spans="1:17" hidden="1">
      <c r="A188" s="70" t="s">
        <v>484</v>
      </c>
      <c r="B188" s="64"/>
      <c r="C188" s="64"/>
      <c r="D188" s="64"/>
      <c r="E188" s="64"/>
      <c r="F188" s="64"/>
      <c r="G188" s="64" t="s">
        <v>485</v>
      </c>
      <c r="H188" s="67"/>
      <c r="I188" s="67"/>
      <c r="J188" s="64" t="s">
        <v>60</v>
      </c>
      <c r="K188" s="64"/>
      <c r="L188" s="64" t="s">
        <v>64</v>
      </c>
      <c r="M188" s="64"/>
      <c r="P188" s="64" t="s">
        <v>921</v>
      </c>
      <c r="Q188" s="64"/>
    </row>
    <row r="189" spans="1:17" hidden="1">
      <c r="A189" s="70" t="s">
        <v>484</v>
      </c>
      <c r="B189" s="64"/>
      <c r="C189" s="64"/>
      <c r="D189" s="64"/>
      <c r="E189" s="64"/>
      <c r="F189" s="64"/>
      <c r="G189" s="64" t="s">
        <v>485</v>
      </c>
      <c r="H189" s="67"/>
      <c r="I189" s="67"/>
      <c r="J189" s="64" t="s">
        <v>60</v>
      </c>
      <c r="K189" s="64"/>
      <c r="L189" s="64" t="s">
        <v>65</v>
      </c>
      <c r="M189" s="64"/>
      <c r="P189" s="64" t="s">
        <v>921</v>
      </c>
      <c r="Q189" s="64"/>
    </row>
    <row r="190" spans="1:17" ht="84.95" hidden="1">
      <c r="A190" s="70" t="s">
        <v>486</v>
      </c>
      <c r="B190" s="64">
        <v>2</v>
      </c>
      <c r="C190" s="64"/>
      <c r="D190" s="64"/>
      <c r="E190" s="64"/>
      <c r="F190" s="64"/>
      <c r="G190" s="64" t="s">
        <v>487</v>
      </c>
      <c r="H190" s="67"/>
      <c r="I190" s="67" t="s">
        <v>477</v>
      </c>
      <c r="J190" s="64" t="s">
        <v>60</v>
      </c>
      <c r="K190" s="64"/>
      <c r="L190" s="64" t="s">
        <v>381</v>
      </c>
      <c r="M190" s="64"/>
      <c r="P190" s="71" t="s">
        <v>911</v>
      </c>
      <c r="Q190" s="64"/>
    </row>
    <row r="191" spans="1:17" hidden="1">
      <c r="A191" s="70" t="s">
        <v>486</v>
      </c>
      <c r="B191" s="64"/>
      <c r="C191" s="64"/>
      <c r="D191" s="64"/>
      <c r="E191" s="64"/>
      <c r="F191" s="64"/>
      <c r="G191" s="64" t="s">
        <v>487</v>
      </c>
      <c r="H191" s="67"/>
      <c r="I191" s="67"/>
      <c r="J191" s="64" t="s">
        <v>60</v>
      </c>
      <c r="K191" s="64"/>
      <c r="L191" s="64" t="s">
        <v>61</v>
      </c>
      <c r="M191" s="64"/>
      <c r="P191" s="64" t="s">
        <v>921</v>
      </c>
      <c r="Q191" s="64"/>
    </row>
    <row r="192" spans="1:17" hidden="1">
      <c r="A192" s="70" t="s">
        <v>486</v>
      </c>
      <c r="B192" s="64"/>
      <c r="C192" s="64"/>
      <c r="D192" s="64"/>
      <c r="E192" s="64"/>
      <c r="F192" s="64"/>
      <c r="G192" s="64" t="s">
        <v>487</v>
      </c>
      <c r="H192" s="67"/>
      <c r="I192" s="67"/>
      <c r="J192" s="64" t="s">
        <v>60</v>
      </c>
      <c r="K192" s="64"/>
      <c r="L192" s="64" t="s">
        <v>64</v>
      </c>
      <c r="M192" s="64"/>
      <c r="P192" s="64" t="s">
        <v>921</v>
      </c>
      <c r="Q192" s="64"/>
    </row>
    <row r="193" spans="1:17" hidden="1">
      <c r="A193" s="70" t="s">
        <v>486</v>
      </c>
      <c r="B193" s="64"/>
      <c r="C193" s="64"/>
      <c r="D193" s="64"/>
      <c r="E193" s="64"/>
      <c r="F193" s="64"/>
      <c r="G193" s="64" t="s">
        <v>487</v>
      </c>
      <c r="H193" s="67"/>
      <c r="I193" s="67"/>
      <c r="J193" s="64" t="s">
        <v>60</v>
      </c>
      <c r="K193" s="64"/>
      <c r="L193" s="64" t="s">
        <v>65</v>
      </c>
      <c r="M193" s="64"/>
      <c r="P193" s="64" t="s">
        <v>921</v>
      </c>
      <c r="Q193" s="64"/>
    </row>
    <row r="194" spans="1:17" ht="84.95" hidden="1">
      <c r="A194" s="70" t="s">
        <v>488</v>
      </c>
      <c r="B194" s="64">
        <v>0.14560000000000001</v>
      </c>
      <c r="C194" s="64"/>
      <c r="D194" s="64"/>
      <c r="E194" s="64"/>
      <c r="F194" s="64"/>
      <c r="G194" s="64" t="s">
        <v>489</v>
      </c>
      <c r="H194" s="67"/>
      <c r="I194" s="67" t="s">
        <v>477</v>
      </c>
      <c r="J194" s="64" t="s">
        <v>60</v>
      </c>
      <c r="K194" s="64"/>
      <c r="L194" s="64" t="s">
        <v>381</v>
      </c>
      <c r="M194" s="64"/>
      <c r="P194" s="71" t="s">
        <v>911</v>
      </c>
      <c r="Q194" s="64"/>
    </row>
    <row r="195" spans="1:17" hidden="1">
      <c r="A195" s="70" t="s">
        <v>488</v>
      </c>
      <c r="B195" s="64"/>
      <c r="C195" s="64"/>
      <c r="D195" s="64"/>
      <c r="E195" s="64"/>
      <c r="F195" s="64"/>
      <c r="G195" s="64" t="s">
        <v>489</v>
      </c>
      <c r="H195" s="67"/>
      <c r="I195" s="67"/>
      <c r="J195" s="64" t="s">
        <v>60</v>
      </c>
      <c r="K195" s="64"/>
      <c r="L195" s="64" t="s">
        <v>61</v>
      </c>
      <c r="M195" s="64"/>
      <c r="P195" s="64" t="s">
        <v>921</v>
      </c>
      <c r="Q195" s="64"/>
    </row>
    <row r="196" spans="1:17" hidden="1">
      <c r="A196" s="70" t="s">
        <v>488</v>
      </c>
      <c r="B196" s="64"/>
      <c r="C196" s="64"/>
      <c r="D196" s="64"/>
      <c r="E196" s="64"/>
      <c r="F196" s="64"/>
      <c r="G196" s="64" t="s">
        <v>489</v>
      </c>
      <c r="H196" s="67"/>
      <c r="I196" s="67"/>
      <c r="J196" s="64" t="s">
        <v>60</v>
      </c>
      <c r="K196" s="64"/>
      <c r="L196" s="64" t="s">
        <v>64</v>
      </c>
      <c r="M196" s="64"/>
      <c r="P196" s="64" t="s">
        <v>921</v>
      </c>
      <c r="Q196" s="64"/>
    </row>
    <row r="197" spans="1:17" hidden="1">
      <c r="A197" s="70" t="s">
        <v>488</v>
      </c>
      <c r="B197" s="64"/>
      <c r="C197" s="64"/>
      <c r="D197" s="64"/>
      <c r="E197" s="64"/>
      <c r="F197" s="64"/>
      <c r="G197" s="64" t="s">
        <v>489</v>
      </c>
      <c r="H197" s="67"/>
      <c r="I197" s="67"/>
      <c r="J197" s="64" t="s">
        <v>60</v>
      </c>
      <c r="K197" s="64"/>
      <c r="L197" s="64" t="s">
        <v>65</v>
      </c>
      <c r="M197" s="64"/>
      <c r="P197" s="64" t="s">
        <v>921</v>
      </c>
      <c r="Q197" s="64"/>
    </row>
    <row r="198" spans="1:17" ht="84.95" hidden="1">
      <c r="A198" s="70" t="s">
        <v>490</v>
      </c>
      <c r="B198" s="64">
        <v>2.6661000000000001</v>
      </c>
      <c r="C198" s="64"/>
      <c r="D198" s="64"/>
      <c r="E198" s="64"/>
      <c r="F198" s="64"/>
      <c r="G198" s="64" t="s">
        <v>491</v>
      </c>
      <c r="H198" s="67"/>
      <c r="I198" s="67" t="s">
        <v>477</v>
      </c>
      <c r="J198" s="64" t="s">
        <v>60</v>
      </c>
      <c r="K198" s="64"/>
      <c r="L198" s="64" t="s">
        <v>381</v>
      </c>
      <c r="M198" s="64"/>
      <c r="P198" s="71" t="s">
        <v>911</v>
      </c>
      <c r="Q198" s="64"/>
    </row>
    <row r="199" spans="1:17" hidden="1">
      <c r="A199" s="70" t="s">
        <v>490</v>
      </c>
      <c r="B199" s="64"/>
      <c r="C199" s="64"/>
      <c r="D199" s="64"/>
      <c r="E199" s="64"/>
      <c r="F199" s="64"/>
      <c r="G199" s="64" t="s">
        <v>491</v>
      </c>
      <c r="H199" s="67"/>
      <c r="I199" s="67"/>
      <c r="J199" s="64" t="s">
        <v>60</v>
      </c>
      <c r="K199" s="64"/>
      <c r="L199" s="64" t="s">
        <v>61</v>
      </c>
      <c r="M199" s="64"/>
      <c r="P199" s="64" t="s">
        <v>921</v>
      </c>
      <c r="Q199" s="64"/>
    </row>
    <row r="200" spans="1:17" hidden="1">
      <c r="A200" s="70" t="s">
        <v>490</v>
      </c>
      <c r="B200" s="64"/>
      <c r="C200" s="64"/>
      <c r="D200" s="64"/>
      <c r="E200" s="64"/>
      <c r="F200" s="64"/>
      <c r="G200" s="64" t="s">
        <v>491</v>
      </c>
      <c r="H200" s="67"/>
      <c r="I200" s="67"/>
      <c r="J200" s="64" t="s">
        <v>60</v>
      </c>
      <c r="K200" s="64"/>
      <c r="L200" s="64" t="s">
        <v>64</v>
      </c>
      <c r="M200" s="64"/>
      <c r="P200" s="64" t="s">
        <v>921</v>
      </c>
      <c r="Q200" s="64"/>
    </row>
    <row r="201" spans="1:17" hidden="1">
      <c r="A201" s="70" t="s">
        <v>490</v>
      </c>
      <c r="B201" s="64"/>
      <c r="C201" s="64"/>
      <c r="D201" s="64"/>
      <c r="E201" s="64"/>
      <c r="F201" s="64"/>
      <c r="G201" s="64" t="s">
        <v>491</v>
      </c>
      <c r="H201" s="67"/>
      <c r="I201" s="67"/>
      <c r="J201" s="64" t="s">
        <v>60</v>
      </c>
      <c r="K201" s="64"/>
      <c r="L201" s="64" t="s">
        <v>65</v>
      </c>
      <c r="M201" s="64"/>
      <c r="P201" s="64" t="s">
        <v>921</v>
      </c>
      <c r="Q201" s="64"/>
    </row>
    <row r="202" spans="1:17" ht="84.95" hidden="1">
      <c r="A202" s="70" t="s">
        <v>492</v>
      </c>
      <c r="B202" s="64">
        <v>5.0099999999999999E-2</v>
      </c>
      <c r="C202" s="64"/>
      <c r="D202" s="64"/>
      <c r="E202" s="64"/>
      <c r="F202" s="64"/>
      <c r="G202" s="64" t="s">
        <v>493</v>
      </c>
      <c r="H202" s="67"/>
      <c r="I202" s="67" t="s">
        <v>477</v>
      </c>
      <c r="J202" s="64" t="s">
        <v>60</v>
      </c>
      <c r="K202" s="64"/>
      <c r="L202" s="64" t="s">
        <v>381</v>
      </c>
      <c r="M202" s="64"/>
      <c r="P202" s="71" t="s">
        <v>911</v>
      </c>
      <c r="Q202" s="64"/>
    </row>
    <row r="203" spans="1:17" hidden="1">
      <c r="A203" s="70" t="s">
        <v>492</v>
      </c>
      <c r="B203" s="64"/>
      <c r="C203" s="64"/>
      <c r="D203" s="64"/>
      <c r="E203" s="64"/>
      <c r="F203" s="64"/>
      <c r="G203" s="64" t="s">
        <v>493</v>
      </c>
      <c r="H203" s="67"/>
      <c r="I203" s="67"/>
      <c r="J203" s="64" t="s">
        <v>60</v>
      </c>
      <c r="K203" s="64"/>
      <c r="L203" s="64" t="s">
        <v>61</v>
      </c>
      <c r="M203" s="64"/>
      <c r="P203" s="64" t="s">
        <v>921</v>
      </c>
      <c r="Q203" s="64"/>
    </row>
    <row r="204" spans="1:17" hidden="1">
      <c r="A204" s="70" t="s">
        <v>492</v>
      </c>
      <c r="B204" s="64"/>
      <c r="C204" s="64"/>
      <c r="D204" s="64"/>
      <c r="E204" s="64"/>
      <c r="F204" s="64"/>
      <c r="G204" s="64" t="s">
        <v>493</v>
      </c>
      <c r="H204" s="67"/>
      <c r="I204" s="67"/>
      <c r="J204" s="64" t="s">
        <v>60</v>
      </c>
      <c r="K204" s="64"/>
      <c r="L204" s="64" t="s">
        <v>64</v>
      </c>
      <c r="M204" s="64"/>
      <c r="P204" s="64" t="s">
        <v>921</v>
      </c>
      <c r="Q204" s="64"/>
    </row>
    <row r="205" spans="1:17" hidden="1">
      <c r="A205" s="70" t="s">
        <v>492</v>
      </c>
      <c r="B205" s="64"/>
      <c r="C205" s="64"/>
      <c r="D205" s="64"/>
      <c r="E205" s="64"/>
      <c r="F205" s="64"/>
      <c r="G205" s="64" t="s">
        <v>493</v>
      </c>
      <c r="H205" s="67"/>
      <c r="I205" s="67"/>
      <c r="J205" s="64" t="s">
        <v>60</v>
      </c>
      <c r="K205" s="64"/>
      <c r="L205" s="64" t="s">
        <v>65</v>
      </c>
      <c r="M205" s="64"/>
      <c r="P205" s="64" t="s">
        <v>921</v>
      </c>
      <c r="Q205" s="64"/>
    </row>
    <row r="206" spans="1:17" ht="84.95" hidden="1">
      <c r="A206" s="70" t="s">
        <v>494</v>
      </c>
      <c r="B206" s="64">
        <v>0.23499999999999999</v>
      </c>
      <c r="C206" s="64"/>
      <c r="D206" s="64"/>
      <c r="E206" s="64"/>
      <c r="F206" s="64"/>
      <c r="G206" s="64" t="s">
        <v>495</v>
      </c>
      <c r="H206" s="67"/>
      <c r="I206" s="67" t="s">
        <v>496</v>
      </c>
      <c r="J206" s="64" t="s">
        <v>60</v>
      </c>
      <c r="K206" s="64"/>
      <c r="L206" s="64" t="s">
        <v>381</v>
      </c>
      <c r="M206" s="64"/>
      <c r="P206" s="71" t="s">
        <v>911</v>
      </c>
      <c r="Q206" s="64"/>
    </row>
    <row r="207" spans="1:17" hidden="1">
      <c r="A207" s="70" t="s">
        <v>494</v>
      </c>
      <c r="B207" s="64"/>
      <c r="C207" s="64"/>
      <c r="D207" s="64"/>
      <c r="E207" s="64"/>
      <c r="F207" s="64"/>
      <c r="G207" s="64" t="s">
        <v>495</v>
      </c>
      <c r="H207" s="67"/>
      <c r="I207" s="67"/>
      <c r="J207" s="64" t="s">
        <v>60</v>
      </c>
      <c r="K207" s="64"/>
      <c r="L207" s="64" t="s">
        <v>61</v>
      </c>
      <c r="M207" s="64"/>
      <c r="P207" s="64" t="s">
        <v>921</v>
      </c>
      <c r="Q207" s="64"/>
    </row>
    <row r="208" spans="1:17" hidden="1">
      <c r="A208" s="70" t="s">
        <v>494</v>
      </c>
      <c r="B208" s="64"/>
      <c r="C208" s="64"/>
      <c r="D208" s="64"/>
      <c r="E208" s="64"/>
      <c r="F208" s="64"/>
      <c r="G208" s="64" t="s">
        <v>495</v>
      </c>
      <c r="H208" s="67"/>
      <c r="I208" s="67"/>
      <c r="J208" s="64" t="s">
        <v>60</v>
      </c>
      <c r="K208" s="64"/>
      <c r="L208" s="64" t="s">
        <v>64</v>
      </c>
      <c r="M208" s="64"/>
      <c r="P208" s="64" t="s">
        <v>921</v>
      </c>
      <c r="Q208" s="64"/>
    </row>
    <row r="209" spans="1:17" hidden="1">
      <c r="A209" s="70" t="s">
        <v>494</v>
      </c>
      <c r="B209" s="64"/>
      <c r="C209" s="64"/>
      <c r="D209" s="64"/>
      <c r="E209" s="64"/>
      <c r="F209" s="64"/>
      <c r="G209" s="64" t="s">
        <v>495</v>
      </c>
      <c r="H209" s="67"/>
      <c r="I209" s="67"/>
      <c r="J209" s="64" t="s">
        <v>60</v>
      </c>
      <c r="K209" s="64"/>
      <c r="L209" s="64" t="s">
        <v>65</v>
      </c>
      <c r="M209" s="64"/>
      <c r="P209" s="64" t="s">
        <v>921</v>
      </c>
      <c r="Q209" s="64"/>
    </row>
    <row r="210" spans="1:17" ht="84.95" hidden="1">
      <c r="A210" s="70" t="s">
        <v>497</v>
      </c>
      <c r="B210" s="64">
        <v>3.15</v>
      </c>
      <c r="C210" s="64"/>
      <c r="D210" s="64"/>
      <c r="E210" s="64"/>
      <c r="F210" s="64"/>
      <c r="G210" s="64" t="s">
        <v>498</v>
      </c>
      <c r="H210" s="67"/>
      <c r="I210" s="67" t="s">
        <v>496</v>
      </c>
      <c r="J210" s="64" t="s">
        <v>60</v>
      </c>
      <c r="K210" s="64"/>
      <c r="L210" s="64" t="s">
        <v>381</v>
      </c>
      <c r="M210" s="64"/>
      <c r="P210" s="71" t="s">
        <v>911</v>
      </c>
      <c r="Q210" s="64"/>
    </row>
    <row r="211" spans="1:17" hidden="1">
      <c r="A211" s="70" t="s">
        <v>497</v>
      </c>
      <c r="B211" s="64"/>
      <c r="C211" s="64"/>
      <c r="D211" s="64"/>
      <c r="E211" s="64"/>
      <c r="F211" s="64"/>
      <c r="G211" s="64" t="s">
        <v>498</v>
      </c>
      <c r="H211" s="67"/>
      <c r="I211" s="67"/>
      <c r="J211" s="64" t="s">
        <v>60</v>
      </c>
      <c r="K211" s="64"/>
      <c r="L211" s="64" t="s">
        <v>61</v>
      </c>
      <c r="M211" s="64"/>
      <c r="P211" s="64" t="s">
        <v>921</v>
      </c>
      <c r="Q211" s="64"/>
    </row>
    <row r="212" spans="1:17" hidden="1">
      <c r="A212" s="70" t="s">
        <v>497</v>
      </c>
      <c r="B212" s="64"/>
      <c r="C212" s="64"/>
      <c r="D212" s="64"/>
      <c r="E212" s="64"/>
      <c r="F212" s="64"/>
      <c r="G212" s="64" t="s">
        <v>498</v>
      </c>
      <c r="H212" s="67"/>
      <c r="I212" s="67"/>
      <c r="J212" s="64" t="s">
        <v>60</v>
      </c>
      <c r="K212" s="64"/>
      <c r="L212" s="64" t="s">
        <v>64</v>
      </c>
      <c r="M212" s="64"/>
      <c r="P212" s="64" t="s">
        <v>921</v>
      </c>
      <c r="Q212" s="64"/>
    </row>
    <row r="213" spans="1:17" hidden="1">
      <c r="A213" s="70" t="s">
        <v>497</v>
      </c>
      <c r="B213" s="64"/>
      <c r="C213" s="64"/>
      <c r="D213" s="64"/>
      <c r="E213" s="64"/>
      <c r="F213" s="64"/>
      <c r="G213" s="64" t="s">
        <v>498</v>
      </c>
      <c r="H213" s="67"/>
      <c r="I213" s="67"/>
      <c r="J213" s="64" t="s">
        <v>60</v>
      </c>
      <c r="K213" s="64"/>
      <c r="L213" s="64" t="s">
        <v>65</v>
      </c>
      <c r="M213" s="64"/>
      <c r="P213" s="64" t="s">
        <v>921</v>
      </c>
      <c r="Q213" s="64"/>
    </row>
    <row r="214" spans="1:17" ht="135.94999999999999" hidden="1">
      <c r="A214" s="70" t="s">
        <v>499</v>
      </c>
      <c r="B214" s="64">
        <v>80.948499999999996</v>
      </c>
      <c r="C214" s="64"/>
      <c r="D214" s="64"/>
      <c r="E214" s="64"/>
      <c r="F214" s="64"/>
      <c r="G214" s="64" t="s">
        <v>500</v>
      </c>
      <c r="H214" s="67" t="s">
        <v>501</v>
      </c>
      <c r="I214" s="67" t="s">
        <v>432</v>
      </c>
      <c r="J214" s="64" t="s">
        <v>60</v>
      </c>
      <c r="K214" s="64"/>
      <c r="L214" s="64" t="s">
        <v>381</v>
      </c>
      <c r="M214" s="64"/>
      <c r="P214" s="71" t="s">
        <v>911</v>
      </c>
      <c r="Q214" s="64"/>
    </row>
    <row r="215" spans="1:17" hidden="1">
      <c r="A215" s="70" t="s">
        <v>499</v>
      </c>
      <c r="B215" s="64"/>
      <c r="C215" s="64"/>
      <c r="D215" s="64"/>
      <c r="E215" s="64"/>
      <c r="F215" s="64"/>
      <c r="G215" s="64" t="s">
        <v>500</v>
      </c>
      <c r="H215" s="67"/>
      <c r="I215" s="67"/>
      <c r="J215" s="64" t="s">
        <v>60</v>
      </c>
      <c r="K215" s="64"/>
      <c r="L215" s="64" t="s">
        <v>61</v>
      </c>
      <c r="M215" s="64"/>
      <c r="P215" s="64" t="s">
        <v>921</v>
      </c>
      <c r="Q215" s="64"/>
    </row>
    <row r="216" spans="1:17" hidden="1">
      <c r="A216" s="70" t="s">
        <v>499</v>
      </c>
      <c r="B216" s="64"/>
      <c r="C216" s="64"/>
      <c r="D216" s="64"/>
      <c r="E216" s="64"/>
      <c r="F216" s="64"/>
      <c r="G216" s="64" t="s">
        <v>500</v>
      </c>
      <c r="H216" s="67"/>
      <c r="I216" s="67"/>
      <c r="J216" s="64" t="s">
        <v>60</v>
      </c>
      <c r="K216" s="64"/>
      <c r="L216" s="64" t="s">
        <v>64</v>
      </c>
      <c r="M216" s="64"/>
      <c r="P216" s="64" t="s">
        <v>921</v>
      </c>
      <c r="Q216" s="64"/>
    </row>
    <row r="217" spans="1:17" hidden="1">
      <c r="A217" s="70" t="s">
        <v>499</v>
      </c>
      <c r="B217" s="64"/>
      <c r="C217" s="64"/>
      <c r="D217" s="64"/>
      <c r="E217" s="64"/>
      <c r="F217" s="64"/>
      <c r="G217" s="64" t="s">
        <v>500</v>
      </c>
      <c r="H217" s="67"/>
      <c r="I217" s="67"/>
      <c r="J217" s="64" t="s">
        <v>60</v>
      </c>
      <c r="K217" s="64"/>
      <c r="L217" s="64" t="s">
        <v>65</v>
      </c>
      <c r="M217" s="64"/>
      <c r="P217" s="64" t="s">
        <v>921</v>
      </c>
      <c r="Q217" s="64"/>
    </row>
    <row r="218" spans="1:17" ht="135.94999999999999" hidden="1">
      <c r="A218" s="70" t="s">
        <v>502</v>
      </c>
      <c r="B218" s="64">
        <v>74.235799999999998</v>
      </c>
      <c r="C218" s="64"/>
      <c r="D218" s="64"/>
      <c r="E218" s="64"/>
      <c r="F218" s="64"/>
      <c r="G218" s="64" t="s">
        <v>503</v>
      </c>
      <c r="H218" s="67" t="s">
        <v>504</v>
      </c>
      <c r="I218" s="67" t="s">
        <v>432</v>
      </c>
      <c r="J218" s="64" t="s">
        <v>60</v>
      </c>
      <c r="K218" s="64"/>
      <c r="L218" s="64" t="s">
        <v>381</v>
      </c>
      <c r="M218" s="64"/>
      <c r="P218" s="71" t="s">
        <v>911</v>
      </c>
      <c r="Q218" s="64"/>
    </row>
    <row r="219" spans="1:17" hidden="1">
      <c r="A219" s="70" t="s">
        <v>502</v>
      </c>
      <c r="B219" s="64"/>
      <c r="C219" s="64"/>
      <c r="D219" s="64"/>
      <c r="E219" s="64"/>
      <c r="F219" s="64"/>
      <c r="G219" s="64" t="s">
        <v>503</v>
      </c>
      <c r="H219" s="67"/>
      <c r="I219" s="67"/>
      <c r="J219" s="64" t="s">
        <v>60</v>
      </c>
      <c r="K219" s="64"/>
      <c r="L219" s="64" t="s">
        <v>61</v>
      </c>
      <c r="M219" s="64"/>
      <c r="P219" s="64" t="s">
        <v>921</v>
      </c>
      <c r="Q219" s="64"/>
    </row>
    <row r="220" spans="1:17" hidden="1">
      <c r="A220" s="70" t="s">
        <v>502</v>
      </c>
      <c r="B220" s="64"/>
      <c r="C220" s="64"/>
      <c r="D220" s="64"/>
      <c r="E220" s="64"/>
      <c r="F220" s="64"/>
      <c r="G220" s="64" t="s">
        <v>503</v>
      </c>
      <c r="H220" s="67"/>
      <c r="I220" s="67"/>
      <c r="J220" s="64" t="s">
        <v>60</v>
      </c>
      <c r="K220" s="64"/>
      <c r="L220" s="64" t="s">
        <v>64</v>
      </c>
      <c r="M220" s="64"/>
      <c r="P220" s="64" t="s">
        <v>921</v>
      </c>
      <c r="Q220" s="64"/>
    </row>
    <row r="221" spans="1:17" hidden="1">
      <c r="A221" s="70" t="s">
        <v>502</v>
      </c>
      <c r="B221" s="64"/>
      <c r="C221" s="64"/>
      <c r="D221" s="64"/>
      <c r="E221" s="64"/>
      <c r="F221" s="64"/>
      <c r="G221" s="64" t="s">
        <v>503</v>
      </c>
      <c r="H221" s="67"/>
      <c r="I221" s="67"/>
      <c r="J221" s="64" t="s">
        <v>60</v>
      </c>
      <c r="K221" s="64"/>
      <c r="L221" s="64" t="s">
        <v>65</v>
      </c>
      <c r="M221" s="64"/>
      <c r="P221" s="64" t="s">
        <v>921</v>
      </c>
      <c r="Q221" s="64"/>
    </row>
    <row r="222" spans="1:17" ht="119.1" hidden="1">
      <c r="A222" s="70" t="s">
        <v>505</v>
      </c>
      <c r="B222" s="64">
        <v>90</v>
      </c>
      <c r="C222" s="64"/>
      <c r="D222" s="64"/>
      <c r="E222" s="64"/>
      <c r="F222" s="64"/>
      <c r="G222" s="64" t="s">
        <v>506</v>
      </c>
      <c r="H222" s="67" t="s">
        <v>507</v>
      </c>
      <c r="I222" s="67" t="s">
        <v>432</v>
      </c>
      <c r="J222" s="64" t="s">
        <v>60</v>
      </c>
      <c r="K222" s="64"/>
      <c r="L222" s="64" t="s">
        <v>381</v>
      </c>
      <c r="M222" s="64"/>
      <c r="P222" s="71" t="s">
        <v>911</v>
      </c>
      <c r="Q222" s="64"/>
    </row>
    <row r="223" spans="1:17" hidden="1">
      <c r="A223" s="70" t="s">
        <v>505</v>
      </c>
      <c r="B223" s="64"/>
      <c r="C223" s="64"/>
      <c r="D223" s="64"/>
      <c r="E223" s="64"/>
      <c r="F223" s="64"/>
      <c r="G223" s="64" t="s">
        <v>506</v>
      </c>
      <c r="H223" s="67"/>
      <c r="I223" s="67"/>
      <c r="J223" s="64" t="s">
        <v>60</v>
      </c>
      <c r="K223" s="64"/>
      <c r="L223" s="64" t="s">
        <v>61</v>
      </c>
      <c r="M223" s="64"/>
      <c r="P223" s="64" t="s">
        <v>921</v>
      </c>
      <c r="Q223" s="64"/>
    </row>
    <row r="224" spans="1:17" hidden="1">
      <c r="A224" s="70" t="s">
        <v>505</v>
      </c>
      <c r="B224" s="64"/>
      <c r="C224" s="64"/>
      <c r="D224" s="64"/>
      <c r="E224" s="64"/>
      <c r="F224" s="64"/>
      <c r="G224" s="64" t="s">
        <v>506</v>
      </c>
      <c r="H224" s="67"/>
      <c r="I224" s="67"/>
      <c r="J224" s="64" t="s">
        <v>60</v>
      </c>
      <c r="K224" s="64"/>
      <c r="L224" s="64" t="s">
        <v>64</v>
      </c>
      <c r="M224" s="64"/>
      <c r="P224" s="64" t="s">
        <v>921</v>
      </c>
      <c r="Q224" s="64"/>
    </row>
    <row r="225" spans="1:17" hidden="1">
      <c r="A225" s="70" t="s">
        <v>505</v>
      </c>
      <c r="B225" s="64"/>
      <c r="C225" s="64"/>
      <c r="D225" s="64"/>
      <c r="E225" s="64"/>
      <c r="F225" s="64"/>
      <c r="G225" s="64" t="s">
        <v>506</v>
      </c>
      <c r="H225" s="67"/>
      <c r="I225" s="67"/>
      <c r="J225" s="64" t="s">
        <v>60</v>
      </c>
      <c r="K225" s="64"/>
      <c r="L225" s="64" t="s">
        <v>65</v>
      </c>
      <c r="M225" s="64"/>
      <c r="P225" s="64" t="s">
        <v>921</v>
      </c>
      <c r="Q225" s="64"/>
    </row>
    <row r="226" spans="1:17" ht="33.950000000000003">
      <c r="A226" s="70" t="s">
        <v>508</v>
      </c>
      <c r="B226" s="64">
        <v>1977.42</v>
      </c>
      <c r="C226" s="64"/>
      <c r="D226" s="64"/>
      <c r="E226" s="64"/>
      <c r="F226" s="64"/>
      <c r="G226" s="64" t="s">
        <v>509</v>
      </c>
      <c r="H226" s="67"/>
      <c r="I226" s="67" t="s">
        <v>510</v>
      </c>
      <c r="J226" s="64" t="s">
        <v>46</v>
      </c>
      <c r="K226" s="64">
        <v>0</v>
      </c>
      <c r="L226" s="64" t="s">
        <v>381</v>
      </c>
      <c r="M226" s="64" t="s">
        <v>511</v>
      </c>
      <c r="P226" s="71" t="s">
        <v>911</v>
      </c>
      <c r="Q226" s="64"/>
    </row>
    <row r="227" spans="1:17" ht="17.100000000000001">
      <c r="A227" s="70" t="s">
        <v>508</v>
      </c>
      <c r="B227" s="64">
        <v>1516.33</v>
      </c>
      <c r="C227" s="64"/>
      <c r="D227" s="64"/>
      <c r="E227" s="64"/>
      <c r="F227" s="64"/>
      <c r="G227" s="64" t="s">
        <v>512</v>
      </c>
      <c r="H227" s="67"/>
      <c r="I227" s="67" t="s">
        <v>513</v>
      </c>
      <c r="J227" s="64" t="s">
        <v>46</v>
      </c>
      <c r="K227" s="64">
        <v>1</v>
      </c>
      <c r="L227" s="64" t="s">
        <v>381</v>
      </c>
      <c r="M227" s="64" t="s">
        <v>514</v>
      </c>
      <c r="P227" s="71" t="s">
        <v>911</v>
      </c>
      <c r="Q227" s="64"/>
    </row>
    <row r="228" spans="1:17" ht="17.100000000000001">
      <c r="A228" s="70" t="s">
        <v>508</v>
      </c>
      <c r="B228" s="64">
        <v>1725.75</v>
      </c>
      <c r="C228" s="64"/>
      <c r="D228" s="64"/>
      <c r="E228" s="64"/>
      <c r="F228" s="64"/>
      <c r="G228" s="64" t="s">
        <v>515</v>
      </c>
      <c r="H228" s="67"/>
      <c r="I228" s="67" t="s">
        <v>513</v>
      </c>
      <c r="J228" s="64" t="s">
        <v>46</v>
      </c>
      <c r="K228" s="64">
        <v>2</v>
      </c>
      <c r="L228" s="64" t="s">
        <v>381</v>
      </c>
      <c r="M228" s="64" t="s">
        <v>516</v>
      </c>
      <c r="P228" s="71" t="s">
        <v>911</v>
      </c>
      <c r="Q228" s="64"/>
    </row>
    <row r="229" spans="1:17" ht="17.100000000000001">
      <c r="A229" s="70" t="s">
        <v>508</v>
      </c>
      <c r="B229" s="64">
        <v>427.17</v>
      </c>
      <c r="C229" s="64"/>
      <c r="D229" s="64"/>
      <c r="E229" s="64"/>
      <c r="F229" s="64"/>
      <c r="G229" s="64" t="s">
        <v>517</v>
      </c>
      <c r="H229" s="67"/>
      <c r="I229" s="67" t="s">
        <v>513</v>
      </c>
      <c r="J229" s="64" t="s">
        <v>46</v>
      </c>
      <c r="K229" s="64">
        <v>3</v>
      </c>
      <c r="L229" s="64" t="s">
        <v>381</v>
      </c>
      <c r="M229" s="64" t="s">
        <v>518</v>
      </c>
      <c r="P229" s="71" t="s">
        <v>911</v>
      </c>
      <c r="Q229" s="64"/>
    </row>
    <row r="230" spans="1:17" ht="68.099999999999994">
      <c r="A230" s="70" t="s">
        <v>508</v>
      </c>
      <c r="B230" s="64"/>
      <c r="C230" s="64"/>
      <c r="D230" s="64"/>
      <c r="E230" s="64"/>
      <c r="F230" s="64"/>
      <c r="G230" s="64" t="s">
        <v>519</v>
      </c>
      <c r="H230" s="67"/>
      <c r="I230" s="67"/>
      <c r="J230" s="64" t="s">
        <v>46</v>
      </c>
      <c r="K230" s="64">
        <v>0</v>
      </c>
      <c r="L230" s="64" t="s">
        <v>61</v>
      </c>
      <c r="M230" s="64" t="s">
        <v>511</v>
      </c>
      <c r="P230" s="75" t="s">
        <v>922</v>
      </c>
      <c r="Q230" s="64" t="s">
        <v>923</v>
      </c>
    </row>
    <row r="231" spans="1:17" ht="84.95">
      <c r="A231" s="70" t="s">
        <v>508</v>
      </c>
      <c r="B231" s="64"/>
      <c r="C231" s="64"/>
      <c r="D231" s="64"/>
      <c r="E231" s="64"/>
      <c r="F231" s="64"/>
      <c r="G231" s="64" t="s">
        <v>520</v>
      </c>
      <c r="H231" s="67" t="s">
        <v>521</v>
      </c>
      <c r="I231" s="67" t="s">
        <v>67</v>
      </c>
      <c r="J231" s="64" t="s">
        <v>46</v>
      </c>
      <c r="K231" s="64">
        <v>1</v>
      </c>
      <c r="L231" s="64" t="s">
        <v>61</v>
      </c>
      <c r="M231" s="64" t="s">
        <v>514</v>
      </c>
      <c r="P231" s="75" t="s">
        <v>924</v>
      </c>
      <c r="Q231" s="64"/>
    </row>
    <row r="232" spans="1:17" ht="84.95">
      <c r="A232" s="70" t="s">
        <v>508</v>
      </c>
      <c r="B232" s="64"/>
      <c r="C232" s="64"/>
      <c r="D232" s="64"/>
      <c r="E232" s="64"/>
      <c r="F232" s="64"/>
      <c r="G232" s="64" t="s">
        <v>522</v>
      </c>
      <c r="H232" s="67" t="s">
        <v>521</v>
      </c>
      <c r="I232" s="67" t="s">
        <v>67</v>
      </c>
      <c r="J232" s="64" t="s">
        <v>46</v>
      </c>
      <c r="K232" s="64">
        <v>2</v>
      </c>
      <c r="L232" s="64" t="s">
        <v>61</v>
      </c>
      <c r="M232" s="64" t="s">
        <v>516</v>
      </c>
      <c r="P232" s="67" t="s">
        <v>924</v>
      </c>
      <c r="Q232" s="64"/>
    </row>
    <row r="233" spans="1:17" ht="84.95">
      <c r="A233" s="70" t="s">
        <v>508</v>
      </c>
      <c r="B233" s="64"/>
      <c r="C233" s="64"/>
      <c r="D233" s="64"/>
      <c r="E233" s="64"/>
      <c r="F233" s="64"/>
      <c r="G233" s="64" t="s">
        <v>523</v>
      </c>
      <c r="H233" s="67" t="s">
        <v>521</v>
      </c>
      <c r="I233" s="67" t="s">
        <v>67</v>
      </c>
      <c r="J233" s="64" t="s">
        <v>46</v>
      </c>
      <c r="K233" s="64">
        <v>3</v>
      </c>
      <c r="L233" s="64" t="s">
        <v>61</v>
      </c>
      <c r="M233" s="64" t="s">
        <v>518</v>
      </c>
      <c r="P233" s="67" t="s">
        <v>924</v>
      </c>
      <c r="Q233" s="64"/>
    </row>
    <row r="234" spans="1:17" ht="51">
      <c r="A234" s="70" t="s">
        <v>508</v>
      </c>
      <c r="B234" s="64"/>
      <c r="C234" s="64"/>
      <c r="D234" s="64"/>
      <c r="E234" s="64"/>
      <c r="F234" s="64"/>
      <c r="G234" s="64" t="s">
        <v>519</v>
      </c>
      <c r="H234" s="67"/>
      <c r="I234" s="67"/>
      <c r="J234" s="64" t="s">
        <v>46</v>
      </c>
      <c r="K234" s="64">
        <v>0</v>
      </c>
      <c r="L234" s="64" t="s">
        <v>64</v>
      </c>
      <c r="M234" s="64" t="s">
        <v>511</v>
      </c>
      <c r="P234" s="67" t="s">
        <v>924</v>
      </c>
      <c r="Q234" s="64"/>
    </row>
    <row r="235" spans="1:17" ht="84.95">
      <c r="A235" s="70" t="s">
        <v>508</v>
      </c>
      <c r="B235" s="64"/>
      <c r="C235" s="64"/>
      <c r="D235" s="64"/>
      <c r="E235" s="64"/>
      <c r="F235" s="64"/>
      <c r="G235" s="64" t="s">
        <v>520</v>
      </c>
      <c r="H235" s="67" t="s">
        <v>521</v>
      </c>
      <c r="I235" s="67" t="s">
        <v>67</v>
      </c>
      <c r="J235" s="64" t="s">
        <v>46</v>
      </c>
      <c r="K235" s="64">
        <v>1</v>
      </c>
      <c r="L235" s="64" t="s">
        <v>64</v>
      </c>
      <c r="M235" s="64" t="s">
        <v>514</v>
      </c>
      <c r="P235" s="67" t="s">
        <v>924</v>
      </c>
      <c r="Q235" s="64"/>
    </row>
    <row r="236" spans="1:17" ht="84.95">
      <c r="A236" s="70" t="s">
        <v>508</v>
      </c>
      <c r="B236" s="64"/>
      <c r="C236" s="64"/>
      <c r="D236" s="64"/>
      <c r="E236" s="64"/>
      <c r="F236" s="64"/>
      <c r="G236" s="64" t="s">
        <v>522</v>
      </c>
      <c r="H236" s="67" t="s">
        <v>521</v>
      </c>
      <c r="I236" s="67" t="s">
        <v>67</v>
      </c>
      <c r="J236" s="64" t="s">
        <v>46</v>
      </c>
      <c r="K236" s="64">
        <v>2</v>
      </c>
      <c r="L236" s="64" t="s">
        <v>64</v>
      </c>
      <c r="M236" s="64" t="s">
        <v>516</v>
      </c>
      <c r="P236" s="67" t="s">
        <v>924</v>
      </c>
      <c r="Q236" s="64"/>
    </row>
    <row r="237" spans="1:17" ht="84.95">
      <c r="A237" s="70" t="s">
        <v>508</v>
      </c>
      <c r="B237" s="64"/>
      <c r="C237" s="64"/>
      <c r="D237" s="64"/>
      <c r="E237" s="64"/>
      <c r="F237" s="64"/>
      <c r="G237" s="64" t="s">
        <v>523</v>
      </c>
      <c r="H237" s="67" t="s">
        <v>521</v>
      </c>
      <c r="I237" s="67" t="s">
        <v>67</v>
      </c>
      <c r="J237" s="64" t="s">
        <v>46</v>
      </c>
      <c r="K237" s="64">
        <v>3</v>
      </c>
      <c r="L237" s="64" t="s">
        <v>64</v>
      </c>
      <c r="M237" s="64" t="s">
        <v>518</v>
      </c>
      <c r="P237" s="67" t="s">
        <v>924</v>
      </c>
      <c r="Q237" s="64"/>
    </row>
    <row r="238" spans="1:17" ht="51">
      <c r="A238" s="70" t="s">
        <v>508</v>
      </c>
      <c r="B238" s="64"/>
      <c r="C238" s="64"/>
      <c r="D238" s="64"/>
      <c r="E238" s="64"/>
      <c r="F238" s="64"/>
      <c r="G238" s="64" t="s">
        <v>519</v>
      </c>
      <c r="H238" s="67"/>
      <c r="I238" s="67"/>
      <c r="J238" s="64" t="s">
        <v>46</v>
      </c>
      <c r="K238" s="64">
        <v>0</v>
      </c>
      <c r="L238" s="64" t="s">
        <v>65</v>
      </c>
      <c r="M238" s="64" t="s">
        <v>511</v>
      </c>
      <c r="P238" s="67" t="s">
        <v>924</v>
      </c>
      <c r="Q238" s="64"/>
    </row>
    <row r="239" spans="1:17" ht="84.95">
      <c r="A239" s="70" t="s">
        <v>508</v>
      </c>
      <c r="B239" s="64"/>
      <c r="C239" s="64"/>
      <c r="D239" s="64"/>
      <c r="E239" s="64"/>
      <c r="F239" s="64"/>
      <c r="G239" s="64" t="s">
        <v>520</v>
      </c>
      <c r="H239" s="67" t="s">
        <v>521</v>
      </c>
      <c r="I239" s="67" t="s">
        <v>67</v>
      </c>
      <c r="J239" s="64" t="s">
        <v>46</v>
      </c>
      <c r="K239" s="64">
        <v>1</v>
      </c>
      <c r="L239" s="64" t="s">
        <v>65</v>
      </c>
      <c r="M239" s="64" t="s">
        <v>514</v>
      </c>
      <c r="P239" s="67" t="s">
        <v>924</v>
      </c>
      <c r="Q239" s="64"/>
    </row>
    <row r="240" spans="1:17" ht="84.95">
      <c r="A240" s="70" t="s">
        <v>508</v>
      </c>
      <c r="B240" s="64"/>
      <c r="C240" s="64"/>
      <c r="D240" s="64"/>
      <c r="E240" s="64"/>
      <c r="F240" s="64"/>
      <c r="G240" s="64" t="s">
        <v>522</v>
      </c>
      <c r="H240" s="67" t="s">
        <v>521</v>
      </c>
      <c r="I240" s="67" t="s">
        <v>67</v>
      </c>
      <c r="J240" s="64" t="s">
        <v>46</v>
      </c>
      <c r="K240" s="64">
        <v>2</v>
      </c>
      <c r="L240" s="64" t="s">
        <v>65</v>
      </c>
      <c r="M240" s="64" t="s">
        <v>516</v>
      </c>
      <c r="P240" s="67" t="s">
        <v>924</v>
      </c>
      <c r="Q240" s="64"/>
    </row>
    <row r="241" spans="1:17" ht="84.95">
      <c r="A241" s="70" t="s">
        <v>508</v>
      </c>
      <c r="B241" s="64"/>
      <c r="C241" s="64"/>
      <c r="D241" s="64"/>
      <c r="E241" s="64"/>
      <c r="F241" s="64"/>
      <c r="G241" s="64" t="s">
        <v>523</v>
      </c>
      <c r="H241" s="67" t="s">
        <v>521</v>
      </c>
      <c r="I241" s="67" t="s">
        <v>67</v>
      </c>
      <c r="J241" s="64" t="s">
        <v>46</v>
      </c>
      <c r="K241" s="64">
        <v>3</v>
      </c>
      <c r="L241" s="64" t="s">
        <v>65</v>
      </c>
      <c r="M241" s="64" t="s">
        <v>518</v>
      </c>
      <c r="P241" s="67" t="s">
        <v>924</v>
      </c>
      <c r="Q241" s="64"/>
    </row>
    <row r="242" spans="1:17" ht="170.1">
      <c r="A242" s="70" t="s">
        <v>524</v>
      </c>
      <c r="B242" s="64">
        <v>0</v>
      </c>
      <c r="C242" s="64"/>
      <c r="D242" s="64"/>
      <c r="E242" s="64"/>
      <c r="F242" s="64"/>
      <c r="G242" s="64" t="s">
        <v>525</v>
      </c>
      <c r="H242" s="67"/>
      <c r="I242" s="67" t="s">
        <v>74</v>
      </c>
      <c r="J242" s="64" t="s">
        <v>46</v>
      </c>
      <c r="K242" s="64">
        <v>0</v>
      </c>
      <c r="L242" s="64" t="s">
        <v>381</v>
      </c>
      <c r="M242" s="64" t="s">
        <v>511</v>
      </c>
      <c r="P242" s="71" t="s">
        <v>911</v>
      </c>
      <c r="Q242" s="64"/>
    </row>
    <row r="243" spans="1:17" ht="170.1">
      <c r="A243" s="70" t="s">
        <v>524</v>
      </c>
      <c r="B243" s="64">
        <v>0</v>
      </c>
      <c r="C243" s="64"/>
      <c r="D243" s="64"/>
      <c r="E243" s="64"/>
      <c r="F243" s="64"/>
      <c r="G243" s="64" t="s">
        <v>526</v>
      </c>
      <c r="H243" s="67"/>
      <c r="I243" s="67" t="s">
        <v>74</v>
      </c>
      <c r="J243" s="64" t="s">
        <v>46</v>
      </c>
      <c r="K243" s="64">
        <v>1</v>
      </c>
      <c r="L243" s="64" t="s">
        <v>381</v>
      </c>
      <c r="M243" s="64" t="s">
        <v>514</v>
      </c>
      <c r="P243" s="71" t="s">
        <v>911</v>
      </c>
      <c r="Q243" s="64"/>
    </row>
    <row r="244" spans="1:17" ht="170.1">
      <c r="A244" s="70" t="s">
        <v>524</v>
      </c>
      <c r="B244" s="64">
        <v>0</v>
      </c>
      <c r="C244" s="64"/>
      <c r="D244" s="64"/>
      <c r="E244" s="64"/>
      <c r="F244" s="64"/>
      <c r="G244" s="64" t="s">
        <v>527</v>
      </c>
      <c r="H244" s="67" t="s">
        <v>528</v>
      </c>
      <c r="I244" s="67" t="s">
        <v>74</v>
      </c>
      <c r="J244" s="64" t="s">
        <v>46</v>
      </c>
      <c r="K244" s="64">
        <v>2</v>
      </c>
      <c r="L244" s="64" t="s">
        <v>381</v>
      </c>
      <c r="M244" s="64" t="s">
        <v>516</v>
      </c>
      <c r="P244" s="71" t="s">
        <v>911</v>
      </c>
      <c r="Q244" s="64"/>
    </row>
    <row r="245" spans="1:17" ht="170.1">
      <c r="A245" s="70" t="s">
        <v>524</v>
      </c>
      <c r="B245" s="64">
        <v>0</v>
      </c>
      <c r="C245" s="64"/>
      <c r="D245" s="64"/>
      <c r="E245" s="64"/>
      <c r="F245" s="64"/>
      <c r="G245" s="64" t="s">
        <v>529</v>
      </c>
      <c r="H245" s="67"/>
      <c r="I245" s="67" t="s">
        <v>74</v>
      </c>
      <c r="J245" s="64" t="s">
        <v>46</v>
      </c>
      <c r="K245" s="64">
        <v>3</v>
      </c>
      <c r="L245" s="64" t="s">
        <v>381</v>
      </c>
      <c r="M245" s="64" t="s">
        <v>518</v>
      </c>
      <c r="P245" s="76" t="s">
        <v>911</v>
      </c>
      <c r="Q245" s="64"/>
    </row>
    <row r="246" spans="1:17" ht="186.95">
      <c r="A246" s="70" t="s">
        <v>524</v>
      </c>
      <c r="B246" s="64"/>
      <c r="C246" s="64"/>
      <c r="D246" s="64"/>
      <c r="E246" s="64"/>
      <c r="F246" s="64"/>
      <c r="G246" s="64" t="s">
        <v>525</v>
      </c>
      <c r="H246" s="67"/>
      <c r="I246" s="67" t="s">
        <v>925</v>
      </c>
      <c r="J246" s="64" t="s">
        <v>46</v>
      </c>
      <c r="K246" s="64">
        <v>0</v>
      </c>
      <c r="L246" s="64" t="s">
        <v>61</v>
      </c>
      <c r="M246" s="64" t="s">
        <v>511</v>
      </c>
      <c r="P246" s="75" t="s">
        <v>926</v>
      </c>
      <c r="Q246" s="64"/>
    </row>
    <row r="247" spans="1:17" ht="170.1">
      <c r="A247" s="70" t="s">
        <v>524</v>
      </c>
      <c r="B247" s="64"/>
      <c r="C247" s="64"/>
      <c r="D247" s="64"/>
      <c r="E247" s="64"/>
      <c r="F247" s="64"/>
      <c r="G247" s="64" t="s">
        <v>526</v>
      </c>
      <c r="H247" s="67"/>
      <c r="I247" s="67" t="s">
        <v>74</v>
      </c>
      <c r="J247" s="64" t="s">
        <v>46</v>
      </c>
      <c r="K247" s="64">
        <v>1</v>
      </c>
      <c r="L247" s="64" t="s">
        <v>61</v>
      </c>
      <c r="M247" s="64" t="s">
        <v>514</v>
      </c>
      <c r="P247" s="67" t="s">
        <v>926</v>
      </c>
      <c r="Q247" s="64"/>
    </row>
    <row r="248" spans="1:17" ht="170.1">
      <c r="A248" s="70" t="s">
        <v>524</v>
      </c>
      <c r="B248" s="64"/>
      <c r="C248" s="64"/>
      <c r="D248" s="64"/>
      <c r="E248" s="64"/>
      <c r="F248" s="64"/>
      <c r="G248" s="64" t="s">
        <v>527</v>
      </c>
      <c r="H248" s="67"/>
      <c r="I248" s="67" t="s">
        <v>74</v>
      </c>
      <c r="J248" s="64" t="s">
        <v>46</v>
      </c>
      <c r="K248" s="64">
        <v>2</v>
      </c>
      <c r="L248" s="64" t="s">
        <v>61</v>
      </c>
      <c r="M248" s="64" t="s">
        <v>516</v>
      </c>
      <c r="P248" s="67" t="s">
        <v>926</v>
      </c>
      <c r="Q248" s="64"/>
    </row>
    <row r="249" spans="1:17" ht="170.1">
      <c r="A249" s="70" t="s">
        <v>524</v>
      </c>
      <c r="B249" s="64"/>
      <c r="C249" s="64"/>
      <c r="D249" s="64"/>
      <c r="E249" s="64"/>
      <c r="F249" s="64"/>
      <c r="G249" s="64" t="s">
        <v>529</v>
      </c>
      <c r="H249" s="67"/>
      <c r="I249" s="67" t="s">
        <v>74</v>
      </c>
      <c r="J249" s="64" t="s">
        <v>46</v>
      </c>
      <c r="K249" s="64">
        <v>3</v>
      </c>
      <c r="L249" s="64" t="s">
        <v>61</v>
      </c>
      <c r="M249" s="64" t="s">
        <v>518</v>
      </c>
      <c r="P249" s="67" t="s">
        <v>926</v>
      </c>
      <c r="Q249" s="64"/>
    </row>
    <row r="250" spans="1:17" ht="170.1">
      <c r="A250" s="70" t="s">
        <v>524</v>
      </c>
      <c r="B250" s="64"/>
      <c r="C250" s="64"/>
      <c r="D250" s="64"/>
      <c r="E250" s="64"/>
      <c r="F250" s="64"/>
      <c r="G250" s="64" t="s">
        <v>525</v>
      </c>
      <c r="H250" s="67"/>
      <c r="I250" s="67" t="s">
        <v>74</v>
      </c>
      <c r="J250" s="64" t="s">
        <v>46</v>
      </c>
      <c r="K250" s="64">
        <v>0</v>
      </c>
      <c r="L250" s="64" t="s">
        <v>64</v>
      </c>
      <c r="M250" s="64" t="s">
        <v>511</v>
      </c>
      <c r="P250" s="67" t="s">
        <v>926</v>
      </c>
      <c r="Q250" s="64"/>
    </row>
    <row r="251" spans="1:17" ht="170.1">
      <c r="A251" s="70" t="s">
        <v>524</v>
      </c>
      <c r="B251" s="64"/>
      <c r="C251" s="64"/>
      <c r="D251" s="64"/>
      <c r="E251" s="64"/>
      <c r="F251" s="64"/>
      <c r="G251" s="64" t="s">
        <v>526</v>
      </c>
      <c r="H251" s="67"/>
      <c r="I251" s="67" t="s">
        <v>74</v>
      </c>
      <c r="J251" s="64" t="s">
        <v>46</v>
      </c>
      <c r="K251" s="64">
        <v>1</v>
      </c>
      <c r="L251" s="64" t="s">
        <v>64</v>
      </c>
      <c r="M251" s="64" t="s">
        <v>514</v>
      </c>
      <c r="P251" s="67" t="s">
        <v>926</v>
      </c>
      <c r="Q251" s="64"/>
    </row>
    <row r="252" spans="1:17" ht="170.1">
      <c r="A252" s="70" t="s">
        <v>524</v>
      </c>
      <c r="B252" s="64"/>
      <c r="C252" s="64"/>
      <c r="D252" s="64"/>
      <c r="E252" s="64"/>
      <c r="F252" s="64"/>
      <c r="G252" s="64" t="s">
        <v>527</v>
      </c>
      <c r="H252" s="67"/>
      <c r="I252" s="67" t="s">
        <v>74</v>
      </c>
      <c r="J252" s="64" t="s">
        <v>46</v>
      </c>
      <c r="K252" s="64">
        <v>2</v>
      </c>
      <c r="L252" s="64" t="s">
        <v>64</v>
      </c>
      <c r="M252" s="64" t="s">
        <v>516</v>
      </c>
      <c r="P252" s="67" t="s">
        <v>926</v>
      </c>
      <c r="Q252" s="64"/>
    </row>
    <row r="253" spans="1:17" ht="170.1">
      <c r="A253" s="70" t="s">
        <v>524</v>
      </c>
      <c r="B253" s="64"/>
      <c r="C253" s="64"/>
      <c r="D253" s="64"/>
      <c r="E253" s="64"/>
      <c r="F253" s="64"/>
      <c r="G253" s="64" t="s">
        <v>529</v>
      </c>
      <c r="H253" s="67"/>
      <c r="I253" s="67" t="s">
        <v>74</v>
      </c>
      <c r="J253" s="64" t="s">
        <v>46</v>
      </c>
      <c r="K253" s="64">
        <v>3</v>
      </c>
      <c r="L253" s="64" t="s">
        <v>64</v>
      </c>
      <c r="M253" s="64" t="s">
        <v>518</v>
      </c>
      <c r="P253" s="67" t="s">
        <v>926</v>
      </c>
      <c r="Q253" s="64"/>
    </row>
    <row r="254" spans="1:17" ht="170.1">
      <c r="A254" s="70" t="s">
        <v>524</v>
      </c>
      <c r="B254" s="64"/>
      <c r="C254" s="64"/>
      <c r="D254" s="64"/>
      <c r="E254" s="64"/>
      <c r="F254" s="64"/>
      <c r="G254" s="64" t="s">
        <v>525</v>
      </c>
      <c r="H254" s="67"/>
      <c r="I254" s="67" t="s">
        <v>74</v>
      </c>
      <c r="J254" s="64" t="s">
        <v>46</v>
      </c>
      <c r="K254" s="64">
        <v>0</v>
      </c>
      <c r="L254" s="64" t="s">
        <v>65</v>
      </c>
      <c r="M254" s="64" t="s">
        <v>511</v>
      </c>
      <c r="P254" s="67" t="s">
        <v>926</v>
      </c>
      <c r="Q254" s="64"/>
    </row>
    <row r="255" spans="1:17" ht="170.1">
      <c r="A255" s="70" t="s">
        <v>524</v>
      </c>
      <c r="B255" s="64"/>
      <c r="C255" s="64"/>
      <c r="D255" s="64"/>
      <c r="E255" s="64"/>
      <c r="F255" s="64"/>
      <c r="G255" s="64" t="s">
        <v>526</v>
      </c>
      <c r="H255" s="67"/>
      <c r="I255" s="67" t="s">
        <v>74</v>
      </c>
      <c r="J255" s="64" t="s">
        <v>46</v>
      </c>
      <c r="K255" s="64">
        <v>1</v>
      </c>
      <c r="L255" s="64" t="s">
        <v>65</v>
      </c>
      <c r="M255" s="64" t="s">
        <v>514</v>
      </c>
      <c r="P255" s="67" t="s">
        <v>926</v>
      </c>
      <c r="Q255" s="64"/>
    </row>
    <row r="256" spans="1:17" ht="170.1">
      <c r="A256" s="70" t="s">
        <v>524</v>
      </c>
      <c r="B256" s="64"/>
      <c r="C256" s="64"/>
      <c r="D256" s="64"/>
      <c r="E256" s="64"/>
      <c r="F256" s="64"/>
      <c r="G256" s="64" t="s">
        <v>527</v>
      </c>
      <c r="H256" s="67"/>
      <c r="I256" s="67" t="s">
        <v>74</v>
      </c>
      <c r="J256" s="64" t="s">
        <v>46</v>
      </c>
      <c r="K256" s="64">
        <v>2</v>
      </c>
      <c r="L256" s="64" t="s">
        <v>65</v>
      </c>
      <c r="M256" s="64" t="s">
        <v>516</v>
      </c>
      <c r="P256" s="67" t="s">
        <v>926</v>
      </c>
      <c r="Q256" s="64"/>
    </row>
    <row r="257" spans="1:17" ht="170.1">
      <c r="A257" s="70" t="s">
        <v>524</v>
      </c>
      <c r="B257" s="64"/>
      <c r="C257" s="64"/>
      <c r="D257" s="64"/>
      <c r="E257" s="64"/>
      <c r="F257" s="64"/>
      <c r="G257" s="64" t="s">
        <v>529</v>
      </c>
      <c r="H257" s="67"/>
      <c r="I257" s="67" t="s">
        <v>74</v>
      </c>
      <c r="J257" s="64" t="s">
        <v>46</v>
      </c>
      <c r="K257" s="64">
        <v>3</v>
      </c>
      <c r="L257" s="64" t="s">
        <v>65</v>
      </c>
      <c r="M257" s="64" t="s">
        <v>518</v>
      </c>
      <c r="P257" s="67" t="s">
        <v>926</v>
      </c>
      <c r="Q257" s="64"/>
    </row>
    <row r="258" spans="1:17" ht="51">
      <c r="A258" s="70" t="s">
        <v>536</v>
      </c>
      <c r="B258" s="64">
        <v>0</v>
      </c>
      <c r="C258" s="64"/>
      <c r="D258" s="64"/>
      <c r="E258" s="64"/>
      <c r="F258" s="64"/>
      <c r="G258" s="64" t="s">
        <v>537</v>
      </c>
      <c r="H258" s="67"/>
      <c r="I258" s="67" t="s">
        <v>77</v>
      </c>
      <c r="J258" s="64" t="s">
        <v>46</v>
      </c>
      <c r="K258" s="64">
        <v>0</v>
      </c>
      <c r="L258" s="64" t="s">
        <v>381</v>
      </c>
      <c r="M258" s="64" t="s">
        <v>511</v>
      </c>
      <c r="P258" s="71" t="s">
        <v>911</v>
      </c>
      <c r="Q258" s="64"/>
    </row>
    <row r="259" spans="1:17" ht="51">
      <c r="A259" s="70" t="s">
        <v>536</v>
      </c>
      <c r="B259" s="64">
        <v>0</v>
      </c>
      <c r="C259" s="64"/>
      <c r="D259" s="64"/>
      <c r="E259" s="64"/>
      <c r="F259" s="64"/>
      <c r="G259" s="64" t="s">
        <v>539</v>
      </c>
      <c r="H259" s="67"/>
      <c r="I259" s="67" t="s">
        <v>77</v>
      </c>
      <c r="J259" s="64" t="s">
        <v>46</v>
      </c>
      <c r="K259" s="64">
        <v>1</v>
      </c>
      <c r="L259" s="64" t="s">
        <v>381</v>
      </c>
      <c r="M259" s="64" t="s">
        <v>514</v>
      </c>
      <c r="P259" s="71" t="s">
        <v>911</v>
      </c>
      <c r="Q259" s="64"/>
    </row>
    <row r="260" spans="1:17" ht="153">
      <c r="A260" s="70" t="s">
        <v>536</v>
      </c>
      <c r="B260" s="64">
        <v>0.77</v>
      </c>
      <c r="C260" s="64"/>
      <c r="D260" s="64"/>
      <c r="E260" s="64"/>
      <c r="F260" s="64"/>
      <c r="G260" s="64" t="s">
        <v>542</v>
      </c>
      <c r="H260" s="67" t="s">
        <v>528</v>
      </c>
      <c r="I260" s="67" t="s">
        <v>77</v>
      </c>
      <c r="J260" s="64" t="s">
        <v>46</v>
      </c>
      <c r="K260" s="64">
        <v>2</v>
      </c>
      <c r="L260" s="64" t="s">
        <v>381</v>
      </c>
      <c r="M260" s="64" t="s">
        <v>516</v>
      </c>
      <c r="P260" s="71" t="s">
        <v>911</v>
      </c>
      <c r="Q260" s="64"/>
    </row>
    <row r="261" spans="1:17" ht="51">
      <c r="A261" s="70" t="s">
        <v>536</v>
      </c>
      <c r="B261" s="64">
        <v>0.77</v>
      </c>
      <c r="C261" s="64"/>
      <c r="D261" s="64"/>
      <c r="E261" s="64"/>
      <c r="F261" s="64"/>
      <c r="G261" s="64" t="s">
        <v>543</v>
      </c>
      <c r="H261" s="67"/>
      <c r="I261" s="67" t="s">
        <v>77</v>
      </c>
      <c r="J261" s="64" t="s">
        <v>46</v>
      </c>
      <c r="K261" s="64">
        <v>3</v>
      </c>
      <c r="L261" s="64" t="s">
        <v>381</v>
      </c>
      <c r="M261" s="64" t="s">
        <v>518</v>
      </c>
      <c r="P261" s="71" t="s">
        <v>911</v>
      </c>
      <c r="Q261" s="64"/>
    </row>
    <row r="262" spans="1:17" ht="84.95">
      <c r="A262" s="70" t="s">
        <v>536</v>
      </c>
      <c r="B262" s="64"/>
      <c r="C262" s="64"/>
      <c r="D262" s="64"/>
      <c r="E262" s="64"/>
      <c r="F262" s="64"/>
      <c r="G262" s="64" t="s">
        <v>537</v>
      </c>
      <c r="H262" s="67"/>
      <c r="I262" s="67" t="s">
        <v>77</v>
      </c>
      <c r="J262" s="64" t="s">
        <v>46</v>
      </c>
      <c r="K262" s="64">
        <v>0</v>
      </c>
      <c r="L262" s="64" t="s">
        <v>61</v>
      </c>
      <c r="M262" s="64" t="s">
        <v>511</v>
      </c>
      <c r="P262" s="75" t="s">
        <v>927</v>
      </c>
      <c r="Q262" s="64"/>
    </row>
    <row r="263" spans="1:17" ht="170.1">
      <c r="A263" s="70" t="s">
        <v>536</v>
      </c>
      <c r="B263" s="64"/>
      <c r="C263" s="64"/>
      <c r="D263" s="64"/>
      <c r="E263" s="64"/>
      <c r="F263" s="64"/>
      <c r="G263" s="64" t="s">
        <v>539</v>
      </c>
      <c r="H263" s="67"/>
      <c r="I263" s="67" t="s">
        <v>78</v>
      </c>
      <c r="J263" s="64" t="s">
        <v>46</v>
      </c>
      <c r="K263" s="64">
        <v>1</v>
      </c>
      <c r="L263" s="64" t="s">
        <v>61</v>
      </c>
      <c r="M263" s="64" t="s">
        <v>514</v>
      </c>
      <c r="P263" s="67" t="s">
        <v>927</v>
      </c>
      <c r="Q263" s="64"/>
    </row>
    <row r="264" spans="1:17" ht="170.1">
      <c r="A264" s="70" t="s">
        <v>536</v>
      </c>
      <c r="B264" s="64"/>
      <c r="C264" s="64"/>
      <c r="D264" s="64"/>
      <c r="E264" s="64"/>
      <c r="F264" s="64"/>
      <c r="G264" s="64" t="s">
        <v>542</v>
      </c>
      <c r="H264" s="67"/>
      <c r="I264" s="67" t="s">
        <v>79</v>
      </c>
      <c r="J264" s="64" t="s">
        <v>46</v>
      </c>
      <c r="K264" s="64">
        <v>2</v>
      </c>
      <c r="L264" s="64" t="s">
        <v>61</v>
      </c>
      <c r="M264" s="64" t="s">
        <v>516</v>
      </c>
      <c r="P264" s="67" t="s">
        <v>927</v>
      </c>
      <c r="Q264" s="64"/>
    </row>
    <row r="265" spans="1:17" ht="170.1">
      <c r="A265" s="70" t="s">
        <v>536</v>
      </c>
      <c r="B265" s="64"/>
      <c r="C265" s="64"/>
      <c r="D265" s="64"/>
      <c r="E265" s="64"/>
      <c r="F265" s="64"/>
      <c r="G265" s="64" t="s">
        <v>543</v>
      </c>
      <c r="H265" s="67"/>
      <c r="I265" s="67" t="s">
        <v>80</v>
      </c>
      <c r="J265" s="64" t="s">
        <v>46</v>
      </c>
      <c r="K265" s="64">
        <v>3</v>
      </c>
      <c r="L265" s="64" t="s">
        <v>61</v>
      </c>
      <c r="M265" s="64" t="s">
        <v>518</v>
      </c>
      <c r="P265" s="67" t="s">
        <v>927</v>
      </c>
      <c r="Q265" s="64"/>
    </row>
    <row r="266" spans="1:17" ht="84.95">
      <c r="A266" s="70" t="s">
        <v>536</v>
      </c>
      <c r="B266" s="64"/>
      <c r="C266" s="64"/>
      <c r="D266" s="64"/>
      <c r="E266" s="64"/>
      <c r="F266" s="64"/>
      <c r="G266" s="64" t="s">
        <v>537</v>
      </c>
      <c r="H266" s="67"/>
      <c r="I266" s="67" t="s">
        <v>77</v>
      </c>
      <c r="J266" s="64" t="s">
        <v>46</v>
      </c>
      <c r="K266" s="64">
        <v>0</v>
      </c>
      <c r="L266" s="64" t="s">
        <v>64</v>
      </c>
      <c r="M266" s="64" t="s">
        <v>511</v>
      </c>
      <c r="P266" s="67" t="s">
        <v>927</v>
      </c>
      <c r="Q266" s="64"/>
    </row>
    <row r="267" spans="1:17" ht="170.1">
      <c r="A267" s="70" t="s">
        <v>536</v>
      </c>
      <c r="B267" s="64"/>
      <c r="C267" s="64"/>
      <c r="D267" s="64"/>
      <c r="E267" s="64"/>
      <c r="F267" s="64"/>
      <c r="G267" s="64" t="s">
        <v>539</v>
      </c>
      <c r="H267" s="67"/>
      <c r="I267" s="67" t="s">
        <v>84</v>
      </c>
      <c r="J267" s="64" t="s">
        <v>46</v>
      </c>
      <c r="K267" s="64">
        <v>1</v>
      </c>
      <c r="L267" s="64" t="s">
        <v>64</v>
      </c>
      <c r="M267" s="64" t="s">
        <v>514</v>
      </c>
      <c r="P267" s="67" t="s">
        <v>927</v>
      </c>
      <c r="Q267" s="64"/>
    </row>
    <row r="268" spans="1:17" ht="170.1">
      <c r="A268" s="70" t="s">
        <v>536</v>
      </c>
      <c r="B268" s="64"/>
      <c r="C268" s="64"/>
      <c r="D268" s="64"/>
      <c r="E268" s="64"/>
      <c r="F268" s="64"/>
      <c r="G268" s="64" t="s">
        <v>542</v>
      </c>
      <c r="H268" s="67"/>
      <c r="I268" s="67" t="s">
        <v>85</v>
      </c>
      <c r="J268" s="64" t="s">
        <v>46</v>
      </c>
      <c r="K268" s="64">
        <v>2</v>
      </c>
      <c r="L268" s="64" t="s">
        <v>64</v>
      </c>
      <c r="M268" s="64" t="s">
        <v>516</v>
      </c>
      <c r="P268" s="67" t="s">
        <v>927</v>
      </c>
      <c r="Q268" s="64"/>
    </row>
    <row r="269" spans="1:17" ht="170.1">
      <c r="A269" s="70" t="s">
        <v>536</v>
      </c>
      <c r="B269" s="64"/>
      <c r="C269" s="64"/>
      <c r="D269" s="64"/>
      <c r="E269" s="64"/>
      <c r="F269" s="64"/>
      <c r="G269" s="64" t="s">
        <v>543</v>
      </c>
      <c r="H269" s="67"/>
      <c r="I269" s="67" t="s">
        <v>86</v>
      </c>
      <c r="J269" s="64" t="s">
        <v>46</v>
      </c>
      <c r="K269" s="64">
        <v>3</v>
      </c>
      <c r="L269" s="64" t="s">
        <v>64</v>
      </c>
      <c r="M269" s="64" t="s">
        <v>518</v>
      </c>
      <c r="P269" s="67" t="s">
        <v>927</v>
      </c>
      <c r="Q269" s="64"/>
    </row>
    <row r="270" spans="1:17" ht="84.95">
      <c r="A270" s="70" t="s">
        <v>536</v>
      </c>
      <c r="B270" s="64"/>
      <c r="C270" s="64"/>
      <c r="D270" s="64"/>
      <c r="E270" s="64"/>
      <c r="F270" s="64"/>
      <c r="G270" s="64" t="s">
        <v>537</v>
      </c>
      <c r="H270" s="67"/>
      <c r="I270" s="67" t="s">
        <v>77</v>
      </c>
      <c r="J270" s="64" t="s">
        <v>46</v>
      </c>
      <c r="K270" s="64">
        <v>0</v>
      </c>
      <c r="L270" s="64" t="s">
        <v>65</v>
      </c>
      <c r="M270" s="64" t="s">
        <v>511</v>
      </c>
      <c r="P270" s="67" t="s">
        <v>927</v>
      </c>
      <c r="Q270" s="64"/>
    </row>
    <row r="271" spans="1:17" ht="84.95">
      <c r="A271" s="70" t="s">
        <v>536</v>
      </c>
      <c r="B271" s="64"/>
      <c r="C271" s="64"/>
      <c r="D271" s="64"/>
      <c r="E271" s="64"/>
      <c r="F271" s="64"/>
      <c r="G271" s="64" t="s">
        <v>539</v>
      </c>
      <c r="H271" s="67"/>
      <c r="I271" s="67" t="s">
        <v>77</v>
      </c>
      <c r="J271" s="64" t="s">
        <v>46</v>
      </c>
      <c r="K271" s="64">
        <v>1</v>
      </c>
      <c r="L271" s="64" t="s">
        <v>65</v>
      </c>
      <c r="M271" s="64" t="s">
        <v>514</v>
      </c>
      <c r="P271" s="67" t="s">
        <v>927</v>
      </c>
      <c r="Q271" s="64"/>
    </row>
    <row r="272" spans="1:17" ht="84.95">
      <c r="A272" s="70" t="s">
        <v>536</v>
      </c>
      <c r="B272" s="64"/>
      <c r="C272" s="64"/>
      <c r="D272" s="64"/>
      <c r="E272" s="64"/>
      <c r="F272" s="64"/>
      <c r="G272" s="64" t="s">
        <v>542</v>
      </c>
      <c r="H272" s="67"/>
      <c r="I272" s="67" t="s">
        <v>77</v>
      </c>
      <c r="J272" s="64" t="s">
        <v>46</v>
      </c>
      <c r="K272" s="64">
        <v>2</v>
      </c>
      <c r="L272" s="64" t="s">
        <v>65</v>
      </c>
      <c r="M272" s="64" t="s">
        <v>516</v>
      </c>
      <c r="P272" s="67" t="s">
        <v>927</v>
      </c>
      <c r="Q272" s="64"/>
    </row>
    <row r="273" spans="1:17" ht="84.95">
      <c r="A273" s="70" t="s">
        <v>536</v>
      </c>
      <c r="B273" s="64"/>
      <c r="C273" s="64"/>
      <c r="D273" s="64"/>
      <c r="E273" s="64"/>
      <c r="F273" s="64"/>
      <c r="G273" s="64" t="s">
        <v>543</v>
      </c>
      <c r="H273" s="67"/>
      <c r="I273" s="67" t="s">
        <v>77</v>
      </c>
      <c r="J273" s="64" t="s">
        <v>46</v>
      </c>
      <c r="K273" s="64">
        <v>3</v>
      </c>
      <c r="L273" s="64" t="s">
        <v>65</v>
      </c>
      <c r="M273" s="64" t="s">
        <v>518</v>
      </c>
      <c r="P273" s="67" t="s">
        <v>927</v>
      </c>
      <c r="Q273" s="64"/>
    </row>
    <row r="274" spans="1:17" ht="51">
      <c r="A274" s="70" t="s">
        <v>559</v>
      </c>
      <c r="B274" s="64">
        <v>0</v>
      </c>
      <c r="C274" s="64"/>
      <c r="D274" s="64"/>
      <c r="E274" s="64"/>
      <c r="F274" s="64"/>
      <c r="G274" s="64" t="s">
        <v>560</v>
      </c>
      <c r="H274" s="67"/>
      <c r="I274" s="67" t="s">
        <v>76</v>
      </c>
      <c r="J274" s="64" t="s">
        <v>46</v>
      </c>
      <c r="K274" s="64">
        <v>0</v>
      </c>
      <c r="L274" s="64" t="s">
        <v>381</v>
      </c>
      <c r="M274" s="64" t="s">
        <v>511</v>
      </c>
      <c r="P274" s="71" t="s">
        <v>911</v>
      </c>
      <c r="Q274" s="64"/>
    </row>
    <row r="275" spans="1:17" ht="51">
      <c r="A275" s="70" t="s">
        <v>559</v>
      </c>
      <c r="B275" s="64">
        <v>0</v>
      </c>
      <c r="C275" s="64"/>
      <c r="D275" s="64"/>
      <c r="E275" s="64"/>
      <c r="F275" s="64"/>
      <c r="G275" s="64" t="s">
        <v>561</v>
      </c>
      <c r="H275" s="67"/>
      <c r="I275" s="67" t="s">
        <v>76</v>
      </c>
      <c r="J275" s="64" t="s">
        <v>46</v>
      </c>
      <c r="K275" s="64">
        <v>1</v>
      </c>
      <c r="L275" s="64" t="s">
        <v>381</v>
      </c>
      <c r="M275" s="64" t="s">
        <v>514</v>
      </c>
      <c r="P275" s="71" t="s">
        <v>911</v>
      </c>
      <c r="Q275" s="64"/>
    </row>
    <row r="276" spans="1:17" ht="153">
      <c r="A276" s="70" t="s">
        <v>559</v>
      </c>
      <c r="B276" s="64">
        <v>0.48</v>
      </c>
      <c r="C276" s="64"/>
      <c r="D276" s="64"/>
      <c r="E276" s="64"/>
      <c r="F276" s="64"/>
      <c r="G276" s="64" t="s">
        <v>562</v>
      </c>
      <c r="H276" s="67" t="s">
        <v>528</v>
      </c>
      <c r="I276" s="67" t="s">
        <v>76</v>
      </c>
      <c r="J276" s="64" t="s">
        <v>46</v>
      </c>
      <c r="K276" s="64">
        <v>2</v>
      </c>
      <c r="L276" s="64" t="s">
        <v>381</v>
      </c>
      <c r="M276" s="64" t="s">
        <v>516</v>
      </c>
      <c r="P276" s="71" t="s">
        <v>911</v>
      </c>
      <c r="Q276" s="64"/>
    </row>
    <row r="277" spans="1:17" ht="51">
      <c r="A277" s="70" t="s">
        <v>559</v>
      </c>
      <c r="B277" s="64">
        <v>0.48</v>
      </c>
      <c r="C277" s="64"/>
      <c r="D277" s="64"/>
      <c r="E277" s="64"/>
      <c r="F277" s="64"/>
      <c r="G277" s="64" t="s">
        <v>563</v>
      </c>
      <c r="H277" s="67"/>
      <c r="I277" s="67" t="s">
        <v>76</v>
      </c>
      <c r="J277" s="64" t="s">
        <v>46</v>
      </c>
      <c r="K277" s="64">
        <v>3</v>
      </c>
      <c r="L277" s="64" t="s">
        <v>381</v>
      </c>
      <c r="M277" s="64" t="s">
        <v>518</v>
      </c>
      <c r="P277" s="71" t="s">
        <v>911</v>
      </c>
      <c r="Q277" s="64"/>
    </row>
    <row r="278" spans="1:17" ht="84.95">
      <c r="A278" s="70" t="s">
        <v>559</v>
      </c>
      <c r="B278" s="64"/>
      <c r="C278" s="64"/>
      <c r="D278" s="64"/>
      <c r="E278" s="64"/>
      <c r="F278" s="64"/>
      <c r="G278" s="64" t="s">
        <v>560</v>
      </c>
      <c r="H278" s="67"/>
      <c r="I278" s="67" t="s">
        <v>76</v>
      </c>
      <c r="J278" s="64" t="s">
        <v>46</v>
      </c>
      <c r="K278" s="64">
        <v>0</v>
      </c>
      <c r="L278" s="64" t="s">
        <v>61</v>
      </c>
      <c r="M278" s="64" t="s">
        <v>511</v>
      </c>
      <c r="P278" s="75" t="s">
        <v>928</v>
      </c>
      <c r="Q278" s="64"/>
    </row>
    <row r="279" spans="1:17" ht="153">
      <c r="A279" s="70" t="s">
        <v>559</v>
      </c>
      <c r="B279" s="64">
        <v>0</v>
      </c>
      <c r="C279" s="64"/>
      <c r="D279" s="64"/>
      <c r="E279" s="64"/>
      <c r="F279" s="64" t="s">
        <v>929</v>
      </c>
      <c r="G279" s="64" t="s">
        <v>561</v>
      </c>
      <c r="H279" s="67"/>
      <c r="I279" s="67" t="s">
        <v>81</v>
      </c>
      <c r="J279" s="64" t="s">
        <v>46</v>
      </c>
      <c r="K279" s="64">
        <v>1</v>
      </c>
      <c r="L279" s="64" t="s">
        <v>61</v>
      </c>
      <c r="M279" s="64" t="s">
        <v>514</v>
      </c>
      <c r="P279" s="67" t="s">
        <v>928</v>
      </c>
      <c r="Q279" s="64"/>
    </row>
    <row r="280" spans="1:17" ht="153">
      <c r="A280" s="70" t="s">
        <v>559</v>
      </c>
      <c r="B280" s="64">
        <v>10</v>
      </c>
      <c r="C280" s="64"/>
      <c r="D280" s="64"/>
      <c r="E280" s="64"/>
      <c r="F280" s="64" t="s">
        <v>929</v>
      </c>
      <c r="G280" s="64" t="s">
        <v>562</v>
      </c>
      <c r="H280" s="67"/>
      <c r="I280" s="67" t="s">
        <v>82</v>
      </c>
      <c r="J280" s="64" t="s">
        <v>46</v>
      </c>
      <c r="K280" s="64">
        <v>2</v>
      </c>
      <c r="L280" s="64" t="s">
        <v>61</v>
      </c>
      <c r="M280" s="64" t="s">
        <v>516</v>
      </c>
      <c r="P280" s="67" t="s">
        <v>928</v>
      </c>
      <c r="Q280" s="64"/>
    </row>
    <row r="281" spans="1:17" ht="153">
      <c r="A281" s="70" t="s">
        <v>559</v>
      </c>
      <c r="B281" s="64">
        <v>1</v>
      </c>
      <c r="C281" s="64"/>
      <c r="D281" s="64"/>
      <c r="E281" s="64"/>
      <c r="F281" s="64" t="s">
        <v>929</v>
      </c>
      <c r="G281" s="64" t="s">
        <v>563</v>
      </c>
      <c r="H281" s="67"/>
      <c r="I281" s="67" t="s">
        <v>83</v>
      </c>
      <c r="J281" s="64" t="s">
        <v>46</v>
      </c>
      <c r="K281" s="64">
        <v>3</v>
      </c>
      <c r="L281" s="64" t="s">
        <v>61</v>
      </c>
      <c r="M281" s="64" t="s">
        <v>518</v>
      </c>
      <c r="P281" s="67" t="s">
        <v>928</v>
      </c>
      <c r="Q281" s="64"/>
    </row>
    <row r="282" spans="1:17" ht="84.95">
      <c r="A282" s="70" t="s">
        <v>559</v>
      </c>
      <c r="B282" s="64"/>
      <c r="C282" s="64"/>
      <c r="D282" s="64"/>
      <c r="E282" s="64"/>
      <c r="F282" s="64"/>
      <c r="G282" s="64" t="s">
        <v>560</v>
      </c>
      <c r="H282" s="67"/>
      <c r="I282" s="67" t="s">
        <v>76</v>
      </c>
      <c r="J282" s="64" t="s">
        <v>46</v>
      </c>
      <c r="K282" s="64">
        <v>0</v>
      </c>
      <c r="L282" s="64" t="s">
        <v>64</v>
      </c>
      <c r="M282" s="64" t="s">
        <v>511</v>
      </c>
      <c r="P282" s="67" t="s">
        <v>928</v>
      </c>
      <c r="Q282" s="64"/>
    </row>
    <row r="283" spans="1:17" ht="153">
      <c r="A283" s="70" t="s">
        <v>559</v>
      </c>
      <c r="B283" s="64">
        <v>0</v>
      </c>
      <c r="C283" s="64"/>
      <c r="D283" s="64"/>
      <c r="E283" s="64"/>
      <c r="F283" s="64" t="s">
        <v>929</v>
      </c>
      <c r="G283" s="64" t="s">
        <v>561</v>
      </c>
      <c r="H283" s="67"/>
      <c r="I283" s="67" t="s">
        <v>83</v>
      </c>
      <c r="J283" s="64" t="s">
        <v>46</v>
      </c>
      <c r="K283" s="64">
        <v>1</v>
      </c>
      <c r="L283" s="64" t="s">
        <v>64</v>
      </c>
      <c r="M283" s="64" t="s">
        <v>514</v>
      </c>
      <c r="P283" s="67" t="s">
        <v>928</v>
      </c>
      <c r="Q283" s="64"/>
    </row>
    <row r="284" spans="1:17" ht="153">
      <c r="A284" s="70" t="s">
        <v>559</v>
      </c>
      <c r="B284" s="64">
        <v>11</v>
      </c>
      <c r="C284" s="64"/>
      <c r="D284" s="64"/>
      <c r="E284" s="64"/>
      <c r="F284" s="64" t="s">
        <v>929</v>
      </c>
      <c r="G284" s="64" t="s">
        <v>562</v>
      </c>
      <c r="H284" s="67"/>
      <c r="I284" s="67" t="s">
        <v>83</v>
      </c>
      <c r="J284" s="64" t="s">
        <v>46</v>
      </c>
      <c r="K284" s="64">
        <v>2</v>
      </c>
      <c r="L284" s="64" t="s">
        <v>64</v>
      </c>
      <c r="M284" s="64" t="s">
        <v>516</v>
      </c>
      <c r="P284" s="67" t="s">
        <v>928</v>
      </c>
      <c r="Q284" s="64"/>
    </row>
    <row r="285" spans="1:17" ht="153">
      <c r="A285" s="70" t="s">
        <v>559</v>
      </c>
      <c r="B285" s="64">
        <v>0</v>
      </c>
      <c r="C285" s="64"/>
      <c r="D285" s="64"/>
      <c r="E285" s="64"/>
      <c r="F285" s="64" t="s">
        <v>929</v>
      </c>
      <c r="G285" s="64" t="s">
        <v>563</v>
      </c>
      <c r="H285" s="67"/>
      <c r="I285" s="67" t="s">
        <v>83</v>
      </c>
      <c r="J285" s="64" t="s">
        <v>46</v>
      </c>
      <c r="K285" s="64">
        <v>3</v>
      </c>
      <c r="L285" s="64" t="s">
        <v>64</v>
      </c>
      <c r="M285" s="64" t="s">
        <v>518</v>
      </c>
      <c r="P285" s="67" t="s">
        <v>928</v>
      </c>
      <c r="Q285" s="64"/>
    </row>
    <row r="286" spans="1:17" ht="84.95">
      <c r="A286" s="70" t="s">
        <v>559</v>
      </c>
      <c r="B286" s="64"/>
      <c r="C286" s="64"/>
      <c r="D286" s="64"/>
      <c r="E286" s="64"/>
      <c r="F286" s="64"/>
      <c r="G286" s="64" t="s">
        <v>560</v>
      </c>
      <c r="H286" s="67"/>
      <c r="I286" s="67" t="s">
        <v>76</v>
      </c>
      <c r="J286" s="64" t="s">
        <v>46</v>
      </c>
      <c r="K286" s="64">
        <v>0</v>
      </c>
      <c r="L286" s="64" t="s">
        <v>65</v>
      </c>
      <c r="M286" s="64" t="s">
        <v>511</v>
      </c>
      <c r="P286" s="67" t="s">
        <v>928</v>
      </c>
      <c r="Q286" s="64"/>
    </row>
    <row r="287" spans="1:17" ht="153">
      <c r="A287" s="70" t="s">
        <v>559</v>
      </c>
      <c r="B287" s="64">
        <v>8</v>
      </c>
      <c r="C287" s="64"/>
      <c r="D287" s="64"/>
      <c r="E287" s="64"/>
      <c r="F287" s="64" t="s">
        <v>929</v>
      </c>
      <c r="G287" s="64" t="s">
        <v>561</v>
      </c>
      <c r="H287" s="67"/>
      <c r="I287" s="67" t="s">
        <v>83</v>
      </c>
      <c r="J287" s="64" t="s">
        <v>46</v>
      </c>
      <c r="K287" s="64">
        <v>1</v>
      </c>
      <c r="L287" s="64" t="s">
        <v>65</v>
      </c>
      <c r="M287" s="64" t="s">
        <v>514</v>
      </c>
      <c r="P287" s="67" t="s">
        <v>928</v>
      </c>
      <c r="Q287" s="64"/>
    </row>
    <row r="288" spans="1:17" ht="153">
      <c r="A288" s="70" t="s">
        <v>559</v>
      </c>
      <c r="B288" s="64">
        <v>4</v>
      </c>
      <c r="C288" s="64"/>
      <c r="D288" s="64"/>
      <c r="E288" s="64"/>
      <c r="F288" s="64" t="s">
        <v>929</v>
      </c>
      <c r="G288" s="64" t="s">
        <v>562</v>
      </c>
      <c r="H288" s="67"/>
      <c r="I288" s="67" t="s">
        <v>83</v>
      </c>
      <c r="J288" s="64" t="s">
        <v>46</v>
      </c>
      <c r="K288" s="64">
        <v>2</v>
      </c>
      <c r="L288" s="64" t="s">
        <v>65</v>
      </c>
      <c r="M288" s="64" t="s">
        <v>516</v>
      </c>
      <c r="P288" s="67" t="s">
        <v>928</v>
      </c>
      <c r="Q288" s="64"/>
    </row>
    <row r="289" spans="1:17" ht="153">
      <c r="A289" s="70" t="s">
        <v>559</v>
      </c>
      <c r="B289" s="64">
        <v>1</v>
      </c>
      <c r="C289" s="64"/>
      <c r="D289" s="64"/>
      <c r="E289" s="64"/>
      <c r="F289" s="64" t="s">
        <v>929</v>
      </c>
      <c r="G289" s="64" t="s">
        <v>563</v>
      </c>
      <c r="H289" s="67"/>
      <c r="I289" s="67" t="s">
        <v>83</v>
      </c>
      <c r="J289" s="64" t="s">
        <v>46</v>
      </c>
      <c r="K289" s="64">
        <v>3</v>
      </c>
      <c r="L289" s="64" t="s">
        <v>65</v>
      </c>
      <c r="M289" s="64" t="s">
        <v>518</v>
      </c>
      <c r="P289" s="67" t="s">
        <v>928</v>
      </c>
      <c r="Q289" s="64"/>
    </row>
    <row r="290" spans="1:17" ht="153">
      <c r="A290" s="70" t="s">
        <v>574</v>
      </c>
      <c r="B290" s="64">
        <v>0.78</v>
      </c>
      <c r="C290" s="64">
        <v>0.70599999999999996</v>
      </c>
      <c r="D290" s="64">
        <v>0.85399999999999998</v>
      </c>
      <c r="E290" s="64">
        <v>120</v>
      </c>
      <c r="F290" s="64" t="s">
        <v>106</v>
      </c>
      <c r="G290" s="64" t="s">
        <v>575</v>
      </c>
      <c r="H290" s="67" t="s">
        <v>528</v>
      </c>
      <c r="I290" s="67" t="s">
        <v>75</v>
      </c>
      <c r="J290" s="64" t="s">
        <v>46</v>
      </c>
      <c r="K290" s="64">
        <v>0</v>
      </c>
      <c r="L290" s="64" t="s">
        <v>381</v>
      </c>
      <c r="M290" s="64" t="s">
        <v>576</v>
      </c>
      <c r="P290" s="71" t="s">
        <v>911</v>
      </c>
      <c r="Q290" s="64"/>
    </row>
    <row r="291" spans="1:17" ht="68.099999999999994">
      <c r="A291" s="70" t="s">
        <v>574</v>
      </c>
      <c r="B291" s="64"/>
      <c r="C291" s="64"/>
      <c r="D291" s="64"/>
      <c r="E291" s="64"/>
      <c r="F291" s="64"/>
      <c r="G291" s="64" t="s">
        <v>575</v>
      </c>
      <c r="H291" s="67"/>
      <c r="I291" s="67" t="s">
        <v>75</v>
      </c>
      <c r="J291" s="64" t="s">
        <v>46</v>
      </c>
      <c r="K291" s="64">
        <v>0</v>
      </c>
      <c r="L291" s="64" t="s">
        <v>61</v>
      </c>
      <c r="M291" s="64" t="s">
        <v>576</v>
      </c>
      <c r="P291" s="75" t="s">
        <v>930</v>
      </c>
      <c r="Q291" s="64"/>
    </row>
    <row r="292" spans="1:17" ht="68.099999999999994">
      <c r="A292" s="70" t="s">
        <v>574</v>
      </c>
      <c r="B292" s="64"/>
      <c r="C292" s="64"/>
      <c r="D292" s="64"/>
      <c r="E292" s="64"/>
      <c r="F292" s="64"/>
      <c r="G292" s="64" t="s">
        <v>575</v>
      </c>
      <c r="H292" s="67"/>
      <c r="I292" s="67" t="s">
        <v>75</v>
      </c>
      <c r="J292" s="64" t="s">
        <v>46</v>
      </c>
      <c r="K292" s="64">
        <v>0</v>
      </c>
      <c r="L292" s="64" t="s">
        <v>64</v>
      </c>
      <c r="M292" s="64" t="s">
        <v>576</v>
      </c>
      <c r="P292" s="67" t="s">
        <v>930</v>
      </c>
      <c r="Q292" s="64"/>
    </row>
    <row r="293" spans="1:17" ht="68.099999999999994">
      <c r="A293" s="70" t="s">
        <v>574</v>
      </c>
      <c r="B293" s="64"/>
      <c r="C293" s="64"/>
      <c r="D293" s="64"/>
      <c r="E293" s="64"/>
      <c r="F293" s="64"/>
      <c r="G293" s="64" t="s">
        <v>575</v>
      </c>
      <c r="H293" s="67"/>
      <c r="I293" s="67" t="s">
        <v>75</v>
      </c>
      <c r="J293" s="64" t="s">
        <v>46</v>
      </c>
      <c r="K293" s="64">
        <v>0</v>
      </c>
      <c r="L293" s="64" t="s">
        <v>65</v>
      </c>
      <c r="M293" s="64" t="s">
        <v>576</v>
      </c>
      <c r="P293" s="67" t="s">
        <v>930</v>
      </c>
      <c r="Q293" s="64"/>
    </row>
    <row r="294" spans="1:17" ht="272.10000000000002">
      <c r="A294" s="70" t="s">
        <v>581</v>
      </c>
      <c r="B294" s="64">
        <v>0.35</v>
      </c>
      <c r="C294" s="64">
        <v>0.28499999999999998</v>
      </c>
      <c r="D294" s="64">
        <v>0.41499999999999998</v>
      </c>
      <c r="E294" s="64">
        <v>206</v>
      </c>
      <c r="F294" s="64" t="s">
        <v>106</v>
      </c>
      <c r="G294" s="64" t="s">
        <v>582</v>
      </c>
      <c r="H294" s="67" t="s">
        <v>583</v>
      </c>
      <c r="I294" s="67" t="s">
        <v>73</v>
      </c>
      <c r="J294" s="64" t="s">
        <v>46</v>
      </c>
      <c r="K294" s="64">
        <v>0</v>
      </c>
      <c r="L294" s="64" t="s">
        <v>381</v>
      </c>
      <c r="M294" s="64" t="s">
        <v>576</v>
      </c>
      <c r="P294" s="71" t="s">
        <v>911</v>
      </c>
      <c r="Q294" s="64"/>
    </row>
    <row r="295" spans="1:17" ht="272.10000000000002">
      <c r="A295" s="70" t="s">
        <v>581</v>
      </c>
      <c r="B295" s="64"/>
      <c r="C295" s="64"/>
      <c r="D295" s="64"/>
      <c r="E295" s="64"/>
      <c r="F295" s="64"/>
      <c r="G295" s="64" t="s">
        <v>582</v>
      </c>
      <c r="H295" s="67"/>
      <c r="I295" s="67" t="s">
        <v>73</v>
      </c>
      <c r="J295" s="64" t="s">
        <v>46</v>
      </c>
      <c r="K295" s="64">
        <v>0</v>
      </c>
      <c r="L295" s="64" t="s">
        <v>61</v>
      </c>
      <c r="M295" s="64" t="s">
        <v>576</v>
      </c>
      <c r="P295" s="75" t="s">
        <v>931</v>
      </c>
      <c r="Q295" s="64"/>
    </row>
    <row r="296" spans="1:17" ht="272.10000000000002">
      <c r="A296" s="70" t="s">
        <v>581</v>
      </c>
      <c r="B296" s="64"/>
      <c r="C296" s="64"/>
      <c r="D296" s="64"/>
      <c r="E296" s="64"/>
      <c r="F296" s="64"/>
      <c r="G296" s="64" t="s">
        <v>582</v>
      </c>
      <c r="H296" s="67"/>
      <c r="I296" s="67" t="s">
        <v>73</v>
      </c>
      <c r="J296" s="64" t="s">
        <v>46</v>
      </c>
      <c r="K296" s="64">
        <v>0</v>
      </c>
      <c r="L296" s="64" t="s">
        <v>64</v>
      </c>
      <c r="M296" s="64" t="s">
        <v>576</v>
      </c>
      <c r="P296" s="67" t="s">
        <v>931</v>
      </c>
      <c r="Q296" s="64"/>
    </row>
    <row r="297" spans="1:17" ht="272.10000000000002">
      <c r="A297" s="70" t="s">
        <v>581</v>
      </c>
      <c r="B297" s="64"/>
      <c r="C297" s="64"/>
      <c r="D297" s="64"/>
      <c r="E297" s="64"/>
      <c r="F297" s="64"/>
      <c r="G297" s="64" t="s">
        <v>582</v>
      </c>
      <c r="H297" s="67"/>
      <c r="I297" s="67" t="s">
        <v>73</v>
      </c>
      <c r="J297" s="64" t="s">
        <v>46</v>
      </c>
      <c r="K297" s="64">
        <v>0</v>
      </c>
      <c r="L297" s="64" t="s">
        <v>65</v>
      </c>
      <c r="M297" s="64" t="s">
        <v>576</v>
      </c>
      <c r="P297" s="67" t="s">
        <v>931</v>
      </c>
      <c r="Q297" s="64"/>
    </row>
    <row r="298" spans="1:17" ht="288.95">
      <c r="A298" s="70" t="s">
        <v>588</v>
      </c>
      <c r="B298" s="64">
        <v>0.44</v>
      </c>
      <c r="C298" s="64"/>
      <c r="D298" s="64"/>
      <c r="E298" s="64"/>
      <c r="F298" s="64"/>
      <c r="G298" s="64" t="s">
        <v>589</v>
      </c>
      <c r="H298" s="67" t="s">
        <v>590</v>
      </c>
      <c r="I298" s="67" t="s">
        <v>72</v>
      </c>
      <c r="J298" s="64" t="s">
        <v>46</v>
      </c>
      <c r="K298" s="64">
        <v>0</v>
      </c>
      <c r="L298" s="64" t="s">
        <v>381</v>
      </c>
      <c r="M298" s="64" t="s">
        <v>591</v>
      </c>
      <c r="P298" s="71" t="s">
        <v>911</v>
      </c>
      <c r="Q298" s="64"/>
    </row>
    <row r="299" spans="1:17" ht="153">
      <c r="A299" s="70" t="s">
        <v>588</v>
      </c>
      <c r="B299" s="64"/>
      <c r="C299" s="64"/>
      <c r="D299" s="64"/>
      <c r="E299" s="64"/>
      <c r="F299" s="64"/>
      <c r="G299" s="64" t="s">
        <v>589</v>
      </c>
      <c r="H299" s="67"/>
      <c r="I299" s="67" t="s">
        <v>72</v>
      </c>
      <c r="J299" s="64" t="s">
        <v>46</v>
      </c>
      <c r="K299" s="64">
        <v>0</v>
      </c>
      <c r="L299" s="64" t="s">
        <v>61</v>
      </c>
      <c r="M299" s="64" t="s">
        <v>591</v>
      </c>
      <c r="P299" s="67" t="s">
        <v>932</v>
      </c>
      <c r="Q299" s="64"/>
    </row>
    <row r="300" spans="1:17" ht="153">
      <c r="A300" s="70" t="s">
        <v>588</v>
      </c>
      <c r="B300" s="64"/>
      <c r="C300" s="64"/>
      <c r="D300" s="64"/>
      <c r="E300" s="64"/>
      <c r="F300" s="64"/>
      <c r="G300" s="64" t="s">
        <v>589</v>
      </c>
      <c r="H300" s="67"/>
      <c r="I300" s="67" t="s">
        <v>72</v>
      </c>
      <c r="J300" s="64" t="s">
        <v>46</v>
      </c>
      <c r="K300" s="64">
        <v>0</v>
      </c>
      <c r="L300" s="64" t="s">
        <v>64</v>
      </c>
      <c r="M300" s="64" t="s">
        <v>591</v>
      </c>
      <c r="P300" s="67" t="s">
        <v>932</v>
      </c>
      <c r="Q300" s="64"/>
    </row>
    <row r="301" spans="1:17" ht="153">
      <c r="A301" s="70" t="s">
        <v>588</v>
      </c>
      <c r="B301" s="64"/>
      <c r="C301" s="64"/>
      <c r="D301" s="64"/>
      <c r="E301" s="64"/>
      <c r="F301" s="64"/>
      <c r="G301" s="64" t="s">
        <v>589</v>
      </c>
      <c r="H301" s="67"/>
      <c r="I301" s="67" t="s">
        <v>72</v>
      </c>
      <c r="J301" s="64" t="s">
        <v>46</v>
      </c>
      <c r="K301" s="64">
        <v>0</v>
      </c>
      <c r="L301" s="64" t="s">
        <v>65</v>
      </c>
      <c r="M301" s="64" t="s">
        <v>591</v>
      </c>
      <c r="P301" s="67" t="s">
        <v>932</v>
      </c>
      <c r="Q301" s="64"/>
    </row>
    <row r="302" spans="1:17" ht="204" hidden="1">
      <c r="A302" s="70" t="s">
        <v>593</v>
      </c>
      <c r="B302" s="64">
        <v>187</v>
      </c>
      <c r="C302" s="64"/>
      <c r="D302" s="64"/>
      <c r="E302" s="64"/>
      <c r="F302" s="64"/>
      <c r="G302" s="64"/>
      <c r="H302" s="67"/>
      <c r="I302" s="67" t="s">
        <v>933</v>
      </c>
      <c r="J302" s="64" t="s">
        <v>8</v>
      </c>
      <c r="K302" s="64"/>
      <c r="L302" s="64" t="s">
        <v>381</v>
      </c>
      <c r="M302" s="64" t="s">
        <v>514</v>
      </c>
      <c r="P302" s="71" t="s">
        <v>911</v>
      </c>
      <c r="Q302" s="64"/>
    </row>
    <row r="303" spans="1:17" ht="204" hidden="1">
      <c r="A303" s="70" t="s">
        <v>596</v>
      </c>
      <c r="B303" s="64">
        <v>169</v>
      </c>
      <c r="C303" s="64"/>
      <c r="D303" s="64"/>
      <c r="E303" s="64"/>
      <c r="F303" s="64"/>
      <c r="G303" s="64"/>
      <c r="H303" s="67"/>
      <c r="I303" s="67" t="s">
        <v>933</v>
      </c>
      <c r="J303" s="64" t="s">
        <v>8</v>
      </c>
      <c r="K303" s="64"/>
      <c r="L303" s="64" t="s">
        <v>381</v>
      </c>
      <c r="M303" s="64" t="s">
        <v>514</v>
      </c>
      <c r="P303" s="71" t="s">
        <v>911</v>
      </c>
      <c r="Q303" s="64"/>
    </row>
    <row r="304" spans="1:17" ht="204" hidden="1">
      <c r="A304" s="70" t="s">
        <v>598</v>
      </c>
      <c r="B304" s="64">
        <v>0</v>
      </c>
      <c r="C304" s="64"/>
      <c r="D304" s="64"/>
      <c r="E304" s="64"/>
      <c r="F304" s="64"/>
      <c r="G304" s="64"/>
      <c r="H304" s="67"/>
      <c r="I304" s="67" t="s">
        <v>933</v>
      </c>
      <c r="J304" s="64" t="s">
        <v>8</v>
      </c>
      <c r="K304" s="64"/>
      <c r="L304" s="64" t="s">
        <v>381</v>
      </c>
      <c r="M304" s="64" t="s">
        <v>514</v>
      </c>
      <c r="P304" s="71" t="s">
        <v>911</v>
      </c>
      <c r="Q304" s="64"/>
    </row>
    <row r="305" spans="1:17" ht="204" hidden="1">
      <c r="A305" s="70" t="s">
        <v>600</v>
      </c>
      <c r="B305" s="64">
        <v>0</v>
      </c>
      <c r="C305" s="64"/>
      <c r="D305" s="64"/>
      <c r="E305" s="64"/>
      <c r="F305" s="64"/>
      <c r="G305" s="64"/>
      <c r="H305" s="67"/>
      <c r="I305" s="67" t="s">
        <v>933</v>
      </c>
      <c r="J305" s="64" t="s">
        <v>8</v>
      </c>
      <c r="K305" s="64"/>
      <c r="L305" s="64" t="s">
        <v>381</v>
      </c>
      <c r="M305" s="64" t="s">
        <v>514</v>
      </c>
      <c r="P305" s="71" t="s">
        <v>911</v>
      </c>
      <c r="Q305" s="64"/>
    </row>
    <row r="306" spans="1:17" ht="204" hidden="1">
      <c r="A306" s="70" t="s">
        <v>606</v>
      </c>
      <c r="B306" s="64">
        <v>1057</v>
      </c>
      <c r="C306" s="64"/>
      <c r="D306" s="64"/>
      <c r="E306" s="64"/>
      <c r="F306" s="64"/>
      <c r="G306" s="64"/>
      <c r="H306" s="67"/>
      <c r="I306" s="67" t="s">
        <v>933</v>
      </c>
      <c r="J306" s="64" t="s">
        <v>8</v>
      </c>
      <c r="K306" s="64"/>
      <c r="L306" s="64" t="s">
        <v>381</v>
      </c>
      <c r="M306" s="64" t="s">
        <v>514</v>
      </c>
      <c r="P306" s="71" t="s">
        <v>911</v>
      </c>
      <c r="Q306" s="64"/>
    </row>
    <row r="307" spans="1:17" ht="204" hidden="1">
      <c r="A307" s="70" t="s">
        <v>609</v>
      </c>
      <c r="B307" s="64">
        <v>0</v>
      </c>
      <c r="C307" s="64"/>
      <c r="D307" s="64"/>
      <c r="E307" s="64"/>
      <c r="F307" s="64"/>
      <c r="G307" s="64"/>
      <c r="H307" s="67"/>
      <c r="I307" s="67" t="s">
        <v>933</v>
      </c>
      <c r="J307" s="64" t="s">
        <v>8</v>
      </c>
      <c r="K307" s="64"/>
      <c r="L307" s="64" t="s">
        <v>381</v>
      </c>
      <c r="M307" s="64" t="s">
        <v>514</v>
      </c>
      <c r="P307" s="71" t="s">
        <v>911</v>
      </c>
      <c r="Q307" s="64"/>
    </row>
    <row r="308" spans="1:17" ht="204" hidden="1">
      <c r="A308" s="70" t="s">
        <v>593</v>
      </c>
      <c r="B308" s="64">
        <v>17</v>
      </c>
      <c r="C308" s="64"/>
      <c r="D308" s="64"/>
      <c r="E308" s="64"/>
      <c r="F308" s="64"/>
      <c r="G308" s="64"/>
      <c r="H308" s="67"/>
      <c r="I308" s="67" t="s">
        <v>933</v>
      </c>
      <c r="J308" s="64" t="s">
        <v>8</v>
      </c>
      <c r="K308" s="64"/>
      <c r="L308" s="64" t="s">
        <v>381</v>
      </c>
      <c r="M308" s="64" t="s">
        <v>516</v>
      </c>
      <c r="P308" s="71" t="s">
        <v>911</v>
      </c>
      <c r="Q308" s="64"/>
    </row>
    <row r="309" spans="1:17" ht="204" hidden="1">
      <c r="A309" s="70" t="s">
        <v>596</v>
      </c>
      <c r="B309" s="64">
        <v>34</v>
      </c>
      <c r="C309" s="64"/>
      <c r="D309" s="64"/>
      <c r="E309" s="64"/>
      <c r="F309" s="64"/>
      <c r="G309" s="64"/>
      <c r="H309" s="67"/>
      <c r="I309" s="67" t="s">
        <v>933</v>
      </c>
      <c r="J309" s="64" t="s">
        <v>8</v>
      </c>
      <c r="K309" s="64"/>
      <c r="L309" s="64" t="s">
        <v>381</v>
      </c>
      <c r="M309" s="64" t="s">
        <v>516</v>
      </c>
      <c r="P309" s="71" t="s">
        <v>911</v>
      </c>
      <c r="Q309" s="64"/>
    </row>
    <row r="310" spans="1:17" ht="204" hidden="1">
      <c r="A310" s="70" t="s">
        <v>598</v>
      </c>
      <c r="B310" s="64">
        <v>0</v>
      </c>
      <c r="C310" s="64"/>
      <c r="D310" s="64"/>
      <c r="E310" s="64"/>
      <c r="F310" s="64"/>
      <c r="G310" s="64"/>
      <c r="H310" s="67"/>
      <c r="I310" s="67" t="s">
        <v>933</v>
      </c>
      <c r="J310" s="64" t="s">
        <v>8</v>
      </c>
      <c r="K310" s="64"/>
      <c r="L310" s="64" t="s">
        <v>381</v>
      </c>
      <c r="M310" s="64" t="s">
        <v>516</v>
      </c>
      <c r="P310" s="71" t="s">
        <v>911</v>
      </c>
      <c r="Q310" s="64"/>
    </row>
    <row r="311" spans="1:17" ht="204" hidden="1">
      <c r="A311" s="70" t="s">
        <v>600</v>
      </c>
      <c r="B311" s="64">
        <v>25</v>
      </c>
      <c r="C311" s="64"/>
      <c r="D311" s="64"/>
      <c r="E311" s="64"/>
      <c r="F311" s="64"/>
      <c r="G311" s="64"/>
      <c r="H311" s="67"/>
      <c r="I311" s="67" t="s">
        <v>933</v>
      </c>
      <c r="J311" s="64" t="s">
        <v>8</v>
      </c>
      <c r="K311" s="64"/>
      <c r="L311" s="64" t="s">
        <v>381</v>
      </c>
      <c r="M311" s="64" t="s">
        <v>516</v>
      </c>
      <c r="P311" s="71" t="s">
        <v>911</v>
      </c>
      <c r="Q311" s="64"/>
    </row>
    <row r="312" spans="1:17" ht="204" hidden="1">
      <c r="A312" s="70" t="s">
        <v>606</v>
      </c>
      <c r="B312" s="64">
        <v>147</v>
      </c>
      <c r="C312" s="64"/>
      <c r="D312" s="64"/>
      <c r="E312" s="64"/>
      <c r="F312" s="64"/>
      <c r="G312" s="64"/>
      <c r="H312" s="67"/>
      <c r="I312" s="67" t="s">
        <v>933</v>
      </c>
      <c r="J312" s="64" t="s">
        <v>8</v>
      </c>
      <c r="K312" s="64"/>
      <c r="L312" s="64" t="s">
        <v>381</v>
      </c>
      <c r="M312" s="64" t="s">
        <v>516</v>
      </c>
      <c r="P312" s="71" t="s">
        <v>911</v>
      </c>
      <c r="Q312" s="64"/>
    </row>
    <row r="313" spans="1:17" ht="204" hidden="1">
      <c r="A313" s="70" t="s">
        <v>609</v>
      </c>
      <c r="B313" s="64">
        <v>20</v>
      </c>
      <c r="C313" s="64"/>
      <c r="D313" s="64"/>
      <c r="E313" s="64"/>
      <c r="F313" s="64"/>
      <c r="G313" s="64"/>
      <c r="H313" s="67"/>
      <c r="I313" s="67" t="s">
        <v>933</v>
      </c>
      <c r="J313" s="64" t="s">
        <v>8</v>
      </c>
      <c r="K313" s="64"/>
      <c r="L313" s="64" t="s">
        <v>381</v>
      </c>
      <c r="M313" s="64" t="s">
        <v>516</v>
      </c>
      <c r="P313" s="71" t="s">
        <v>911</v>
      </c>
      <c r="Q313" s="64"/>
    </row>
    <row r="314" spans="1:17" ht="204" hidden="1">
      <c r="A314" s="70" t="s">
        <v>593</v>
      </c>
      <c r="B314" s="64">
        <v>1</v>
      </c>
      <c r="C314" s="64"/>
      <c r="D314" s="64"/>
      <c r="E314" s="64"/>
      <c r="F314" s="64"/>
      <c r="G314" s="64"/>
      <c r="H314" s="67"/>
      <c r="I314" s="67" t="s">
        <v>933</v>
      </c>
      <c r="J314" s="64" t="s">
        <v>8</v>
      </c>
      <c r="K314" s="64"/>
      <c r="L314" s="64" t="s">
        <v>381</v>
      </c>
      <c r="M314" s="64" t="s">
        <v>518</v>
      </c>
      <c r="P314" s="71" t="s">
        <v>911</v>
      </c>
      <c r="Q314" s="64"/>
    </row>
    <row r="315" spans="1:17" ht="204" hidden="1">
      <c r="A315" s="70" t="s">
        <v>596</v>
      </c>
      <c r="B315" s="64">
        <v>2</v>
      </c>
      <c r="C315" s="64"/>
      <c r="D315" s="64"/>
      <c r="E315" s="64"/>
      <c r="F315" s="64"/>
      <c r="G315" s="64"/>
      <c r="H315" s="67"/>
      <c r="I315" s="67" t="s">
        <v>933</v>
      </c>
      <c r="J315" s="64" t="s">
        <v>8</v>
      </c>
      <c r="K315" s="64"/>
      <c r="L315" s="64" t="s">
        <v>381</v>
      </c>
      <c r="M315" s="64" t="s">
        <v>518</v>
      </c>
      <c r="P315" s="71" t="s">
        <v>911</v>
      </c>
      <c r="Q315" s="64"/>
    </row>
    <row r="316" spans="1:17" ht="204" hidden="1">
      <c r="A316" s="70" t="s">
        <v>598</v>
      </c>
      <c r="B316" s="64">
        <v>0</v>
      </c>
      <c r="C316" s="64"/>
      <c r="D316" s="64"/>
      <c r="E316" s="64"/>
      <c r="F316" s="64"/>
      <c r="G316" s="64"/>
      <c r="H316" s="67"/>
      <c r="I316" s="67" t="s">
        <v>933</v>
      </c>
      <c r="J316" s="64" t="s">
        <v>8</v>
      </c>
      <c r="K316" s="64"/>
      <c r="L316" s="64" t="s">
        <v>381</v>
      </c>
      <c r="M316" s="64" t="s">
        <v>518</v>
      </c>
      <c r="P316" s="71" t="s">
        <v>911</v>
      </c>
      <c r="Q316" s="64"/>
    </row>
    <row r="317" spans="1:17" ht="204" hidden="1">
      <c r="A317" s="70" t="s">
        <v>600</v>
      </c>
      <c r="B317" s="64">
        <v>7</v>
      </c>
      <c r="C317" s="64"/>
      <c r="D317" s="64"/>
      <c r="E317" s="64"/>
      <c r="F317" s="64"/>
      <c r="G317" s="64"/>
      <c r="H317" s="67"/>
      <c r="I317" s="67" t="s">
        <v>933</v>
      </c>
      <c r="J317" s="64" t="s">
        <v>8</v>
      </c>
      <c r="K317" s="64"/>
      <c r="L317" s="64" t="s">
        <v>381</v>
      </c>
      <c r="M317" s="64" t="s">
        <v>518</v>
      </c>
      <c r="P317" s="71" t="s">
        <v>911</v>
      </c>
      <c r="Q317" s="64"/>
    </row>
    <row r="318" spans="1:17" ht="204" hidden="1">
      <c r="A318" s="70" t="s">
        <v>606</v>
      </c>
      <c r="B318" s="64">
        <v>57</v>
      </c>
      <c r="C318" s="64"/>
      <c r="D318" s="64"/>
      <c r="E318" s="64"/>
      <c r="F318" s="64"/>
      <c r="G318" s="64"/>
      <c r="H318" s="67"/>
      <c r="I318" s="67" t="s">
        <v>933</v>
      </c>
      <c r="J318" s="64" t="s">
        <v>8</v>
      </c>
      <c r="K318" s="64"/>
      <c r="L318" s="64" t="s">
        <v>381</v>
      </c>
      <c r="M318" s="64" t="s">
        <v>518</v>
      </c>
      <c r="P318" s="71" t="s">
        <v>911</v>
      </c>
      <c r="Q318" s="64"/>
    </row>
    <row r="319" spans="1:17" ht="204" hidden="1">
      <c r="A319" s="70" t="s">
        <v>609</v>
      </c>
      <c r="B319" s="64">
        <v>11</v>
      </c>
      <c r="C319" s="64"/>
      <c r="D319" s="64"/>
      <c r="E319" s="64"/>
      <c r="F319" s="64"/>
      <c r="G319" s="64"/>
      <c r="H319" s="67"/>
      <c r="I319" s="67" t="s">
        <v>933</v>
      </c>
      <c r="J319" s="64" t="s">
        <v>8</v>
      </c>
      <c r="K319" s="64"/>
      <c r="L319" s="64" t="s">
        <v>381</v>
      </c>
      <c r="M319" s="64" t="s">
        <v>518</v>
      </c>
      <c r="P319" s="71" t="s">
        <v>911</v>
      </c>
      <c r="Q319" s="64"/>
    </row>
    <row r="320" spans="1:17" ht="119.1" hidden="1">
      <c r="A320" s="70" t="s">
        <v>593</v>
      </c>
      <c r="B320" s="64">
        <v>291</v>
      </c>
      <c r="C320" s="64"/>
      <c r="D320" s="64"/>
      <c r="E320" s="64"/>
      <c r="F320" s="64"/>
      <c r="G320" s="64"/>
      <c r="H320" s="67"/>
      <c r="I320" s="67" t="s">
        <v>934</v>
      </c>
      <c r="J320" s="64" t="s">
        <v>8</v>
      </c>
      <c r="K320" s="64"/>
      <c r="L320" s="64" t="s">
        <v>61</v>
      </c>
      <c r="M320" s="64" t="s">
        <v>514</v>
      </c>
      <c r="P320" s="75" t="s">
        <v>935</v>
      </c>
      <c r="Q320" s="64" t="s">
        <v>936</v>
      </c>
    </row>
    <row r="321" spans="1:17" ht="119.1" hidden="1">
      <c r="A321" s="70" t="s">
        <v>596</v>
      </c>
      <c r="B321" s="64">
        <v>8</v>
      </c>
      <c r="C321" s="64"/>
      <c r="D321" s="64"/>
      <c r="E321" s="64"/>
      <c r="F321" s="64"/>
      <c r="G321" s="64"/>
      <c r="H321" s="67"/>
      <c r="I321" s="67" t="s">
        <v>934</v>
      </c>
      <c r="J321" s="64" t="s">
        <v>8</v>
      </c>
      <c r="K321" s="64"/>
      <c r="L321" s="64" t="s">
        <v>61</v>
      </c>
      <c r="M321" s="64" t="s">
        <v>514</v>
      </c>
      <c r="P321" s="75" t="s">
        <v>935</v>
      </c>
      <c r="Q321" s="64"/>
    </row>
    <row r="322" spans="1:17" ht="119.1" hidden="1">
      <c r="A322" s="70" t="s">
        <v>598</v>
      </c>
      <c r="B322" s="64">
        <v>0</v>
      </c>
      <c r="C322" s="64"/>
      <c r="D322" s="64"/>
      <c r="E322" s="64"/>
      <c r="F322" s="64"/>
      <c r="G322" s="64"/>
      <c r="H322" s="67"/>
      <c r="I322" s="67" t="s">
        <v>934</v>
      </c>
      <c r="J322" s="64" t="s">
        <v>8</v>
      </c>
      <c r="K322" s="64"/>
      <c r="L322" s="64" t="s">
        <v>61</v>
      </c>
      <c r="M322" s="64" t="s">
        <v>514</v>
      </c>
      <c r="P322" s="75" t="s">
        <v>935</v>
      </c>
      <c r="Q322" s="64"/>
    </row>
    <row r="323" spans="1:17" ht="119.1" hidden="1">
      <c r="A323" s="70" t="s">
        <v>600</v>
      </c>
      <c r="B323" s="64" t="s">
        <v>937</v>
      </c>
      <c r="C323" s="64"/>
      <c r="D323" s="64"/>
      <c r="E323" s="64"/>
      <c r="F323" s="64"/>
      <c r="G323" s="64"/>
      <c r="H323" s="67"/>
      <c r="I323" s="67" t="s">
        <v>934</v>
      </c>
      <c r="J323" s="64" t="s">
        <v>8</v>
      </c>
      <c r="K323" s="64"/>
      <c r="L323" s="64" t="s">
        <v>61</v>
      </c>
      <c r="M323" s="64" t="s">
        <v>514</v>
      </c>
      <c r="P323" s="75" t="s">
        <v>935</v>
      </c>
      <c r="Q323" s="64"/>
    </row>
    <row r="324" spans="1:17" ht="119.1" hidden="1">
      <c r="A324" s="70" t="s">
        <v>606</v>
      </c>
      <c r="B324" s="64">
        <v>35</v>
      </c>
      <c r="C324" s="64"/>
      <c r="D324" s="64"/>
      <c r="E324" s="64"/>
      <c r="F324" s="64"/>
      <c r="G324" s="64"/>
      <c r="H324" s="67"/>
      <c r="I324" s="67" t="s">
        <v>934</v>
      </c>
      <c r="J324" s="64" t="s">
        <v>8</v>
      </c>
      <c r="K324" s="64"/>
      <c r="L324" s="64" t="s">
        <v>61</v>
      </c>
      <c r="M324" s="64" t="s">
        <v>514</v>
      </c>
      <c r="P324" s="75" t="s">
        <v>935</v>
      </c>
      <c r="Q324" s="64"/>
    </row>
    <row r="325" spans="1:17" ht="119.1" hidden="1">
      <c r="A325" s="70" t="s">
        <v>609</v>
      </c>
      <c r="B325" s="64" t="s">
        <v>937</v>
      </c>
      <c r="C325" s="64"/>
      <c r="D325" s="64"/>
      <c r="E325" s="64"/>
      <c r="F325" s="64"/>
      <c r="G325" s="64"/>
      <c r="H325" s="67"/>
      <c r="I325" s="67" t="s">
        <v>934</v>
      </c>
      <c r="J325" s="64" t="s">
        <v>8</v>
      </c>
      <c r="K325" s="64"/>
      <c r="L325" s="64" t="s">
        <v>61</v>
      </c>
      <c r="M325" s="64" t="s">
        <v>514</v>
      </c>
      <c r="P325" s="75" t="s">
        <v>935</v>
      </c>
      <c r="Q325" s="64"/>
    </row>
    <row r="326" spans="1:17" ht="119.1" hidden="1">
      <c r="A326" s="70" t="s">
        <v>593</v>
      </c>
      <c r="B326" s="64">
        <v>50</v>
      </c>
      <c r="C326" s="64"/>
      <c r="D326" s="64"/>
      <c r="E326" s="64"/>
      <c r="F326" s="64"/>
      <c r="G326" s="64"/>
      <c r="H326" s="67"/>
      <c r="I326" s="67" t="s">
        <v>938</v>
      </c>
      <c r="J326" s="64" t="s">
        <v>8</v>
      </c>
      <c r="K326" s="64"/>
      <c r="L326" s="64" t="s">
        <v>61</v>
      </c>
      <c r="M326" s="64" t="s">
        <v>516</v>
      </c>
      <c r="P326" s="75" t="s">
        <v>935</v>
      </c>
      <c r="Q326" s="64"/>
    </row>
    <row r="327" spans="1:17" ht="119.1" hidden="1">
      <c r="A327" s="70" t="s">
        <v>596</v>
      </c>
      <c r="B327" s="64">
        <v>12</v>
      </c>
      <c r="C327" s="64"/>
      <c r="D327" s="64"/>
      <c r="E327" s="64"/>
      <c r="F327" s="64"/>
      <c r="G327" s="64"/>
      <c r="H327" s="67"/>
      <c r="I327" s="67" t="s">
        <v>938</v>
      </c>
      <c r="J327" s="64" t="s">
        <v>8</v>
      </c>
      <c r="K327" s="64"/>
      <c r="L327" s="64" t="s">
        <v>61</v>
      </c>
      <c r="M327" s="64" t="s">
        <v>516</v>
      </c>
      <c r="P327" s="75" t="s">
        <v>935</v>
      </c>
      <c r="Q327" s="64"/>
    </row>
    <row r="328" spans="1:17" ht="119.1" hidden="1">
      <c r="A328" s="70" t="s">
        <v>598</v>
      </c>
      <c r="B328" s="64">
        <v>0</v>
      </c>
      <c r="C328" s="64"/>
      <c r="D328" s="64"/>
      <c r="E328" s="64"/>
      <c r="F328" s="64"/>
      <c r="G328" s="64"/>
      <c r="H328" s="67"/>
      <c r="I328" s="67" t="s">
        <v>938</v>
      </c>
      <c r="J328" s="64" t="s">
        <v>8</v>
      </c>
      <c r="K328" s="64"/>
      <c r="L328" s="64" t="s">
        <v>61</v>
      </c>
      <c r="M328" s="64" t="s">
        <v>516</v>
      </c>
      <c r="P328" s="75" t="s">
        <v>935</v>
      </c>
      <c r="Q328" s="64"/>
    </row>
    <row r="329" spans="1:17" ht="119.1" hidden="1">
      <c r="A329" s="70" t="s">
        <v>600</v>
      </c>
      <c r="B329" s="64" t="s">
        <v>937</v>
      </c>
      <c r="C329" s="64"/>
      <c r="D329" s="64"/>
      <c r="E329" s="64"/>
      <c r="F329" s="64"/>
      <c r="G329" s="64"/>
      <c r="H329" s="67"/>
      <c r="I329" s="67" t="s">
        <v>938</v>
      </c>
      <c r="J329" s="64" t="s">
        <v>8</v>
      </c>
      <c r="K329" s="64"/>
      <c r="L329" s="64" t="s">
        <v>61</v>
      </c>
      <c r="M329" s="64" t="s">
        <v>516</v>
      </c>
      <c r="P329" s="75" t="s">
        <v>935</v>
      </c>
      <c r="Q329" s="64"/>
    </row>
    <row r="330" spans="1:17" ht="119.1" hidden="1">
      <c r="A330" s="70" t="s">
        <v>606</v>
      </c>
      <c r="B330" s="64">
        <v>88</v>
      </c>
      <c r="C330" s="64"/>
      <c r="D330" s="64"/>
      <c r="E330" s="64"/>
      <c r="F330" s="64"/>
      <c r="G330" s="64"/>
      <c r="H330" s="67"/>
      <c r="I330" s="67" t="s">
        <v>938</v>
      </c>
      <c r="J330" s="64" t="s">
        <v>8</v>
      </c>
      <c r="K330" s="64"/>
      <c r="L330" s="64" t="s">
        <v>61</v>
      </c>
      <c r="M330" s="64" t="s">
        <v>516</v>
      </c>
      <c r="P330" s="75" t="s">
        <v>935</v>
      </c>
      <c r="Q330" s="64"/>
    </row>
    <row r="331" spans="1:17" ht="119.1" hidden="1">
      <c r="A331" s="70" t="s">
        <v>609</v>
      </c>
      <c r="B331" s="64" t="s">
        <v>937</v>
      </c>
      <c r="C331" s="64"/>
      <c r="D331" s="64"/>
      <c r="E331" s="64"/>
      <c r="F331" s="64"/>
      <c r="G331" s="64"/>
      <c r="H331" s="67"/>
      <c r="I331" s="67" t="s">
        <v>938</v>
      </c>
      <c r="J331" s="64" t="s">
        <v>8</v>
      </c>
      <c r="K331" s="64"/>
      <c r="L331" s="64" t="s">
        <v>61</v>
      </c>
      <c r="M331" s="64" t="s">
        <v>516</v>
      </c>
      <c r="P331" s="75" t="s">
        <v>935</v>
      </c>
      <c r="Q331" s="64"/>
    </row>
    <row r="332" spans="1:17" ht="119.1" hidden="1">
      <c r="A332" s="70" t="s">
        <v>593</v>
      </c>
      <c r="B332" s="64">
        <v>4</v>
      </c>
      <c r="C332" s="64"/>
      <c r="D332" s="64"/>
      <c r="E332" s="64"/>
      <c r="F332" s="64"/>
      <c r="G332" s="64"/>
      <c r="H332" s="67"/>
      <c r="I332" s="67" t="s">
        <v>939</v>
      </c>
      <c r="J332" s="64" t="s">
        <v>8</v>
      </c>
      <c r="K332" s="64"/>
      <c r="L332" s="64" t="s">
        <v>61</v>
      </c>
      <c r="M332" s="64" t="s">
        <v>518</v>
      </c>
      <c r="P332" s="75" t="s">
        <v>935</v>
      </c>
      <c r="Q332" s="64"/>
    </row>
    <row r="333" spans="1:17" ht="119.1" hidden="1">
      <c r="A333" s="70" t="s">
        <v>596</v>
      </c>
      <c r="B333" s="64">
        <v>1</v>
      </c>
      <c r="C333" s="64"/>
      <c r="D333" s="64"/>
      <c r="E333" s="64"/>
      <c r="F333" s="64"/>
      <c r="G333" s="64"/>
      <c r="H333" s="67"/>
      <c r="I333" s="67" t="s">
        <v>939</v>
      </c>
      <c r="J333" s="64" t="s">
        <v>8</v>
      </c>
      <c r="K333" s="64"/>
      <c r="L333" s="64" t="s">
        <v>61</v>
      </c>
      <c r="M333" s="64" t="s">
        <v>518</v>
      </c>
      <c r="P333" s="75" t="s">
        <v>935</v>
      </c>
      <c r="Q333" s="64"/>
    </row>
    <row r="334" spans="1:17" ht="119.1" hidden="1">
      <c r="A334" s="70" t="s">
        <v>598</v>
      </c>
      <c r="B334" s="64">
        <v>0</v>
      </c>
      <c r="C334" s="64"/>
      <c r="D334" s="64"/>
      <c r="E334" s="64"/>
      <c r="F334" s="64"/>
      <c r="G334" s="64"/>
      <c r="H334" s="67"/>
      <c r="I334" s="67" t="s">
        <v>939</v>
      </c>
      <c r="J334" s="64" t="s">
        <v>8</v>
      </c>
      <c r="K334" s="64"/>
      <c r="L334" s="64" t="s">
        <v>61</v>
      </c>
      <c r="M334" s="64" t="s">
        <v>518</v>
      </c>
      <c r="P334" s="75" t="s">
        <v>935</v>
      </c>
      <c r="Q334" s="64"/>
    </row>
    <row r="335" spans="1:17" ht="119.1" hidden="1">
      <c r="A335" s="70" t="s">
        <v>600</v>
      </c>
      <c r="B335" s="64" t="s">
        <v>937</v>
      </c>
      <c r="C335" s="64"/>
      <c r="D335" s="64"/>
      <c r="E335" s="64"/>
      <c r="F335" s="64"/>
      <c r="G335" s="64"/>
      <c r="H335" s="67"/>
      <c r="I335" s="67" t="s">
        <v>939</v>
      </c>
      <c r="J335" s="64" t="s">
        <v>8</v>
      </c>
      <c r="K335" s="64"/>
      <c r="L335" s="64" t="s">
        <v>61</v>
      </c>
      <c r="M335" s="64" t="s">
        <v>518</v>
      </c>
      <c r="P335" s="75" t="s">
        <v>935</v>
      </c>
      <c r="Q335" s="64"/>
    </row>
    <row r="336" spans="1:17" ht="119.1" hidden="1">
      <c r="A336" s="70" t="s">
        <v>606</v>
      </c>
      <c r="B336" s="64">
        <v>89</v>
      </c>
      <c r="C336" s="64"/>
      <c r="D336" s="64"/>
      <c r="E336" s="64"/>
      <c r="F336" s="64"/>
      <c r="G336" s="64"/>
      <c r="H336" s="67"/>
      <c r="I336" s="67" t="s">
        <v>939</v>
      </c>
      <c r="J336" s="64" t="s">
        <v>8</v>
      </c>
      <c r="K336" s="64"/>
      <c r="L336" s="64" t="s">
        <v>61</v>
      </c>
      <c r="M336" s="64" t="s">
        <v>518</v>
      </c>
      <c r="P336" s="75" t="s">
        <v>935</v>
      </c>
      <c r="Q336" s="64"/>
    </row>
    <row r="337" spans="1:17" ht="119.1" hidden="1">
      <c r="A337" s="70" t="s">
        <v>609</v>
      </c>
      <c r="B337" s="64" t="s">
        <v>937</v>
      </c>
      <c r="C337" s="64"/>
      <c r="D337" s="64"/>
      <c r="E337" s="64"/>
      <c r="F337" s="64"/>
      <c r="G337" s="64"/>
      <c r="H337" s="67"/>
      <c r="I337" s="67" t="s">
        <v>939</v>
      </c>
      <c r="J337" s="64" t="s">
        <v>8</v>
      </c>
      <c r="K337" s="64"/>
      <c r="L337" s="64" t="s">
        <v>61</v>
      </c>
      <c r="M337" s="64" t="s">
        <v>518</v>
      </c>
      <c r="P337" s="75" t="s">
        <v>935</v>
      </c>
      <c r="Q337" s="64"/>
    </row>
    <row r="338" spans="1:17" ht="119.1" hidden="1">
      <c r="A338" s="70" t="s">
        <v>593</v>
      </c>
      <c r="B338" s="64">
        <v>337</v>
      </c>
      <c r="C338" s="64"/>
      <c r="D338" s="64"/>
      <c r="E338" s="64"/>
      <c r="F338" s="64"/>
      <c r="G338" s="64"/>
      <c r="H338" s="67"/>
      <c r="I338" s="67" t="s">
        <v>940</v>
      </c>
      <c r="J338" s="64" t="s">
        <v>8</v>
      </c>
      <c r="K338" s="64"/>
      <c r="L338" s="64" t="s">
        <v>64</v>
      </c>
      <c r="M338" s="64" t="s">
        <v>514</v>
      </c>
      <c r="P338" s="75" t="s">
        <v>935</v>
      </c>
      <c r="Q338" s="64"/>
    </row>
    <row r="339" spans="1:17" ht="119.1" hidden="1">
      <c r="A339" s="70" t="s">
        <v>596</v>
      </c>
      <c r="B339" s="64">
        <v>0</v>
      </c>
      <c r="C339" s="64"/>
      <c r="D339" s="64"/>
      <c r="E339" s="64"/>
      <c r="F339" s="64"/>
      <c r="G339" s="64"/>
      <c r="H339" s="67"/>
      <c r="I339" s="67" t="s">
        <v>940</v>
      </c>
      <c r="J339" s="64" t="s">
        <v>8</v>
      </c>
      <c r="K339" s="64"/>
      <c r="L339" s="64" t="s">
        <v>64</v>
      </c>
      <c r="M339" s="64" t="s">
        <v>514</v>
      </c>
      <c r="P339" s="75" t="s">
        <v>935</v>
      </c>
      <c r="Q339" s="64"/>
    </row>
    <row r="340" spans="1:17" ht="119.1" hidden="1">
      <c r="A340" s="70" t="s">
        <v>598</v>
      </c>
      <c r="B340" s="64">
        <v>0</v>
      </c>
      <c r="C340" s="64"/>
      <c r="D340" s="64"/>
      <c r="E340" s="64"/>
      <c r="F340" s="64"/>
      <c r="G340" s="64"/>
      <c r="H340" s="67"/>
      <c r="I340" s="67" t="s">
        <v>940</v>
      </c>
      <c r="J340" s="64" t="s">
        <v>8</v>
      </c>
      <c r="K340" s="64"/>
      <c r="L340" s="64" t="s">
        <v>64</v>
      </c>
      <c r="M340" s="64" t="s">
        <v>514</v>
      </c>
      <c r="P340" s="75" t="s">
        <v>935</v>
      </c>
      <c r="Q340" s="64"/>
    </row>
    <row r="341" spans="1:17" ht="119.1" hidden="1">
      <c r="A341" s="70" t="s">
        <v>600</v>
      </c>
      <c r="B341" s="64" t="s">
        <v>937</v>
      </c>
      <c r="C341" s="64"/>
      <c r="D341" s="64"/>
      <c r="E341" s="64"/>
      <c r="F341" s="64"/>
      <c r="G341" s="64"/>
      <c r="H341" s="67"/>
      <c r="I341" s="67" t="s">
        <v>940</v>
      </c>
      <c r="J341" s="64" t="s">
        <v>8</v>
      </c>
      <c r="K341" s="64"/>
      <c r="L341" s="64" t="s">
        <v>64</v>
      </c>
      <c r="M341" s="64" t="s">
        <v>514</v>
      </c>
      <c r="P341" s="75" t="s">
        <v>935</v>
      </c>
      <c r="Q341" s="64"/>
    </row>
    <row r="342" spans="1:17" ht="119.1" hidden="1">
      <c r="A342" s="70" t="s">
        <v>606</v>
      </c>
      <c r="B342" s="64">
        <v>25</v>
      </c>
      <c r="C342" s="64"/>
      <c r="D342" s="64"/>
      <c r="E342" s="64"/>
      <c r="F342" s="64"/>
      <c r="G342" s="64"/>
      <c r="H342" s="67"/>
      <c r="I342" s="67" t="s">
        <v>940</v>
      </c>
      <c r="J342" s="64" t="s">
        <v>8</v>
      </c>
      <c r="K342" s="64"/>
      <c r="L342" s="64" t="s">
        <v>64</v>
      </c>
      <c r="M342" s="64" t="s">
        <v>514</v>
      </c>
      <c r="P342" s="75" t="s">
        <v>935</v>
      </c>
      <c r="Q342" s="64"/>
    </row>
    <row r="343" spans="1:17" ht="119.1" hidden="1">
      <c r="A343" s="70" t="s">
        <v>609</v>
      </c>
      <c r="B343" s="64" t="s">
        <v>937</v>
      </c>
      <c r="C343" s="64"/>
      <c r="D343" s="64"/>
      <c r="E343" s="64"/>
      <c r="F343" s="64"/>
      <c r="G343" s="64"/>
      <c r="H343" s="67"/>
      <c r="I343" s="67" t="s">
        <v>940</v>
      </c>
      <c r="J343" s="64" t="s">
        <v>8</v>
      </c>
      <c r="K343" s="64"/>
      <c r="L343" s="64" t="s">
        <v>64</v>
      </c>
      <c r="M343" s="64" t="s">
        <v>514</v>
      </c>
      <c r="P343" s="75" t="s">
        <v>935</v>
      </c>
      <c r="Q343" s="64"/>
    </row>
    <row r="344" spans="1:17" ht="119.1" hidden="1">
      <c r="A344" s="70" t="s">
        <v>593</v>
      </c>
      <c r="B344" s="64">
        <v>25</v>
      </c>
      <c r="C344" s="64"/>
      <c r="D344" s="64"/>
      <c r="E344" s="64"/>
      <c r="F344" s="64"/>
      <c r="G344" s="64"/>
      <c r="H344" s="67"/>
      <c r="I344" s="67" t="s">
        <v>941</v>
      </c>
      <c r="J344" s="64" t="s">
        <v>8</v>
      </c>
      <c r="K344" s="64"/>
      <c r="L344" s="64" t="s">
        <v>64</v>
      </c>
      <c r="M344" s="64" t="s">
        <v>516</v>
      </c>
      <c r="P344" s="75" t="s">
        <v>935</v>
      </c>
      <c r="Q344" s="64"/>
    </row>
    <row r="345" spans="1:17" ht="119.1" hidden="1">
      <c r="A345" s="70" t="s">
        <v>596</v>
      </c>
      <c r="B345" s="64">
        <v>10</v>
      </c>
      <c r="C345" s="64"/>
      <c r="D345" s="64"/>
      <c r="E345" s="64"/>
      <c r="F345" s="64"/>
      <c r="G345" s="64"/>
      <c r="H345" s="67"/>
      <c r="I345" s="67" t="s">
        <v>941</v>
      </c>
      <c r="J345" s="64" t="s">
        <v>8</v>
      </c>
      <c r="K345" s="64"/>
      <c r="L345" s="64" t="s">
        <v>64</v>
      </c>
      <c r="M345" s="64" t="s">
        <v>516</v>
      </c>
      <c r="P345" s="75" t="s">
        <v>935</v>
      </c>
      <c r="Q345" s="64"/>
    </row>
    <row r="346" spans="1:17" ht="119.1" hidden="1">
      <c r="A346" s="70" t="s">
        <v>598</v>
      </c>
      <c r="B346" s="64">
        <v>1</v>
      </c>
      <c r="C346" s="64"/>
      <c r="D346" s="64"/>
      <c r="E346" s="64"/>
      <c r="F346" s="64"/>
      <c r="G346" s="64"/>
      <c r="H346" s="67"/>
      <c r="I346" s="67" t="s">
        <v>941</v>
      </c>
      <c r="J346" s="64" t="s">
        <v>8</v>
      </c>
      <c r="K346" s="64"/>
      <c r="L346" s="64" t="s">
        <v>64</v>
      </c>
      <c r="M346" s="64" t="s">
        <v>516</v>
      </c>
      <c r="P346" s="75" t="s">
        <v>935</v>
      </c>
      <c r="Q346" s="64"/>
    </row>
    <row r="347" spans="1:17" ht="119.1" hidden="1">
      <c r="A347" s="70" t="s">
        <v>600</v>
      </c>
      <c r="B347" s="64" t="s">
        <v>937</v>
      </c>
      <c r="C347" s="64"/>
      <c r="D347" s="64"/>
      <c r="E347" s="64"/>
      <c r="F347" s="64"/>
      <c r="G347" s="64"/>
      <c r="H347" s="67"/>
      <c r="I347" s="67" t="s">
        <v>941</v>
      </c>
      <c r="J347" s="64" t="s">
        <v>8</v>
      </c>
      <c r="K347" s="64"/>
      <c r="L347" s="64" t="s">
        <v>64</v>
      </c>
      <c r="M347" s="64" t="s">
        <v>516</v>
      </c>
      <c r="P347" s="75" t="s">
        <v>935</v>
      </c>
      <c r="Q347" s="64"/>
    </row>
    <row r="348" spans="1:17" ht="119.1" hidden="1">
      <c r="A348" s="70" t="s">
        <v>606</v>
      </c>
      <c r="B348" s="64">
        <v>536</v>
      </c>
      <c r="C348" s="64"/>
      <c r="D348" s="64"/>
      <c r="E348" s="64"/>
      <c r="F348" s="64"/>
      <c r="G348" s="64"/>
      <c r="H348" s="67"/>
      <c r="I348" s="67" t="s">
        <v>941</v>
      </c>
      <c r="J348" s="64" t="s">
        <v>8</v>
      </c>
      <c r="K348" s="64"/>
      <c r="L348" s="64" t="s">
        <v>64</v>
      </c>
      <c r="M348" s="64" t="s">
        <v>516</v>
      </c>
      <c r="P348" s="75" t="s">
        <v>935</v>
      </c>
      <c r="Q348" s="64"/>
    </row>
    <row r="349" spans="1:17" ht="119.1" hidden="1">
      <c r="A349" s="70" t="s">
        <v>609</v>
      </c>
      <c r="B349" s="64" t="s">
        <v>937</v>
      </c>
      <c r="C349" s="64"/>
      <c r="D349" s="64"/>
      <c r="E349" s="64"/>
      <c r="F349" s="64"/>
      <c r="G349" s="64"/>
      <c r="H349" s="67"/>
      <c r="I349" s="67" t="s">
        <v>941</v>
      </c>
      <c r="J349" s="64" t="s">
        <v>8</v>
      </c>
      <c r="K349" s="64"/>
      <c r="L349" s="64" t="s">
        <v>64</v>
      </c>
      <c r="M349" s="64" t="s">
        <v>516</v>
      </c>
      <c r="P349" s="75" t="s">
        <v>935</v>
      </c>
      <c r="Q349" s="64"/>
    </row>
    <row r="350" spans="1:17" ht="119.1" hidden="1">
      <c r="A350" s="70" t="s">
        <v>593</v>
      </c>
      <c r="B350" s="64">
        <v>0</v>
      </c>
      <c r="C350" s="64"/>
      <c r="D350" s="64"/>
      <c r="E350" s="64"/>
      <c r="F350" s="64"/>
      <c r="G350" s="64"/>
      <c r="H350" s="67"/>
      <c r="I350" s="67" t="s">
        <v>942</v>
      </c>
      <c r="J350" s="64" t="s">
        <v>8</v>
      </c>
      <c r="K350" s="64"/>
      <c r="L350" s="64" t="s">
        <v>64</v>
      </c>
      <c r="M350" s="64" t="s">
        <v>518</v>
      </c>
      <c r="P350" s="75" t="s">
        <v>935</v>
      </c>
      <c r="Q350" s="64"/>
    </row>
    <row r="351" spans="1:17" ht="119.1" hidden="1">
      <c r="A351" s="70" t="s">
        <v>596</v>
      </c>
      <c r="B351" s="64">
        <v>0</v>
      </c>
      <c r="C351" s="64"/>
      <c r="D351" s="64"/>
      <c r="E351" s="64"/>
      <c r="F351" s="64"/>
      <c r="G351" s="64"/>
      <c r="H351" s="67"/>
      <c r="I351" s="67" t="s">
        <v>942</v>
      </c>
      <c r="J351" s="64" t="s">
        <v>8</v>
      </c>
      <c r="K351" s="64"/>
      <c r="L351" s="64" t="s">
        <v>64</v>
      </c>
      <c r="M351" s="64" t="s">
        <v>518</v>
      </c>
      <c r="P351" s="75" t="s">
        <v>935</v>
      </c>
      <c r="Q351" s="64"/>
    </row>
    <row r="352" spans="1:17" ht="119.1" hidden="1">
      <c r="A352" s="70" t="s">
        <v>598</v>
      </c>
      <c r="B352" s="64">
        <v>0</v>
      </c>
      <c r="C352" s="64"/>
      <c r="D352" s="64"/>
      <c r="E352" s="64"/>
      <c r="F352" s="64"/>
      <c r="G352" s="64"/>
      <c r="H352" s="67"/>
      <c r="I352" s="67" t="s">
        <v>942</v>
      </c>
      <c r="J352" s="64" t="s">
        <v>8</v>
      </c>
      <c r="K352" s="64"/>
      <c r="L352" s="64" t="s">
        <v>64</v>
      </c>
      <c r="M352" s="64" t="s">
        <v>518</v>
      </c>
      <c r="P352" s="75" t="s">
        <v>935</v>
      </c>
      <c r="Q352" s="64"/>
    </row>
    <row r="353" spans="1:17" ht="119.1" hidden="1">
      <c r="A353" s="70" t="s">
        <v>600</v>
      </c>
      <c r="B353" s="64" t="s">
        <v>937</v>
      </c>
      <c r="C353" s="64"/>
      <c r="D353" s="64"/>
      <c r="E353" s="64"/>
      <c r="F353" s="64"/>
      <c r="G353" s="64"/>
      <c r="H353" s="67"/>
      <c r="I353" s="67" t="s">
        <v>942</v>
      </c>
      <c r="J353" s="64" t="s">
        <v>8</v>
      </c>
      <c r="K353" s="64"/>
      <c r="L353" s="64" t="s">
        <v>64</v>
      </c>
      <c r="M353" s="64" t="s">
        <v>518</v>
      </c>
      <c r="P353" s="75" t="s">
        <v>935</v>
      </c>
      <c r="Q353" s="64"/>
    </row>
    <row r="354" spans="1:17" ht="119.1" hidden="1">
      <c r="A354" s="70" t="s">
        <v>606</v>
      </c>
      <c r="B354" s="64">
        <v>0</v>
      </c>
      <c r="C354" s="64"/>
      <c r="D354" s="64"/>
      <c r="E354" s="64"/>
      <c r="F354" s="64"/>
      <c r="G354" s="64"/>
      <c r="H354" s="67"/>
      <c r="I354" s="67" t="s">
        <v>942</v>
      </c>
      <c r="J354" s="64" t="s">
        <v>8</v>
      </c>
      <c r="K354" s="64"/>
      <c r="L354" s="64" t="s">
        <v>64</v>
      </c>
      <c r="M354" s="64" t="s">
        <v>518</v>
      </c>
      <c r="P354" s="75" t="s">
        <v>935</v>
      </c>
      <c r="Q354" s="64"/>
    </row>
    <row r="355" spans="1:17" ht="119.1" hidden="1">
      <c r="A355" s="70" t="s">
        <v>609</v>
      </c>
      <c r="B355" s="64" t="s">
        <v>937</v>
      </c>
      <c r="C355" s="64"/>
      <c r="D355" s="64"/>
      <c r="E355" s="64"/>
      <c r="F355" s="64"/>
      <c r="G355" s="64"/>
      <c r="H355" s="67"/>
      <c r="I355" s="67" t="s">
        <v>942</v>
      </c>
      <c r="J355" s="64" t="s">
        <v>8</v>
      </c>
      <c r="K355" s="64"/>
      <c r="L355" s="64" t="s">
        <v>64</v>
      </c>
      <c r="M355" s="64" t="s">
        <v>518</v>
      </c>
      <c r="P355" s="75" t="s">
        <v>935</v>
      </c>
      <c r="Q355" s="64"/>
    </row>
    <row r="356" spans="1:17" ht="119.1" hidden="1">
      <c r="A356" s="70" t="s">
        <v>593</v>
      </c>
      <c r="B356" s="64">
        <v>389</v>
      </c>
      <c r="C356" s="64"/>
      <c r="D356" s="64"/>
      <c r="E356" s="64"/>
      <c r="F356" s="64"/>
      <c r="G356" s="64"/>
      <c r="H356" s="67"/>
      <c r="I356" s="67" t="s">
        <v>943</v>
      </c>
      <c r="J356" s="64" t="s">
        <v>8</v>
      </c>
      <c r="K356" s="64"/>
      <c r="L356" s="64" t="s">
        <v>65</v>
      </c>
      <c r="M356" s="64" t="s">
        <v>514</v>
      </c>
      <c r="P356" s="75" t="s">
        <v>935</v>
      </c>
      <c r="Q356" s="64"/>
    </row>
    <row r="357" spans="1:17" ht="119.1" hidden="1">
      <c r="A357" s="70" t="s">
        <v>596</v>
      </c>
      <c r="B357" s="64">
        <v>0</v>
      </c>
      <c r="C357" s="64"/>
      <c r="D357" s="64"/>
      <c r="E357" s="64"/>
      <c r="F357" s="64"/>
      <c r="G357" s="64"/>
      <c r="H357" s="67"/>
      <c r="I357" s="67" t="s">
        <v>943</v>
      </c>
      <c r="J357" s="64" t="s">
        <v>8</v>
      </c>
      <c r="K357" s="64"/>
      <c r="L357" s="64" t="s">
        <v>65</v>
      </c>
      <c r="M357" s="64" t="s">
        <v>514</v>
      </c>
      <c r="P357" s="75" t="s">
        <v>935</v>
      </c>
      <c r="Q357" s="64"/>
    </row>
    <row r="358" spans="1:17" ht="119.1" hidden="1">
      <c r="A358" s="70" t="s">
        <v>598</v>
      </c>
      <c r="B358" s="64">
        <v>0</v>
      </c>
      <c r="C358" s="64"/>
      <c r="D358" s="64"/>
      <c r="E358" s="64"/>
      <c r="F358" s="64"/>
      <c r="G358" s="64"/>
      <c r="H358" s="67"/>
      <c r="I358" s="67" t="s">
        <v>943</v>
      </c>
      <c r="J358" s="64" t="s">
        <v>8</v>
      </c>
      <c r="K358" s="64"/>
      <c r="L358" s="64" t="s">
        <v>65</v>
      </c>
      <c r="M358" s="64" t="s">
        <v>514</v>
      </c>
      <c r="P358" s="75" t="s">
        <v>935</v>
      </c>
      <c r="Q358" s="64"/>
    </row>
    <row r="359" spans="1:17" ht="119.1" hidden="1">
      <c r="A359" s="70" t="s">
        <v>600</v>
      </c>
      <c r="B359" s="64" t="s">
        <v>937</v>
      </c>
      <c r="C359" s="64"/>
      <c r="D359" s="64"/>
      <c r="E359" s="64"/>
      <c r="F359" s="64"/>
      <c r="G359" s="64"/>
      <c r="H359" s="67"/>
      <c r="I359" s="67" t="s">
        <v>943</v>
      </c>
      <c r="J359" s="64" t="s">
        <v>8</v>
      </c>
      <c r="K359" s="64"/>
      <c r="L359" s="64" t="s">
        <v>65</v>
      </c>
      <c r="M359" s="64" t="s">
        <v>514</v>
      </c>
      <c r="P359" s="75" t="s">
        <v>935</v>
      </c>
      <c r="Q359" s="64"/>
    </row>
    <row r="360" spans="1:17" ht="119.1" hidden="1">
      <c r="A360" s="70" t="s">
        <v>606</v>
      </c>
      <c r="B360" s="64">
        <v>165</v>
      </c>
      <c r="C360" s="64"/>
      <c r="D360" s="64"/>
      <c r="E360" s="64"/>
      <c r="F360" s="64"/>
      <c r="G360" s="64"/>
      <c r="H360" s="67"/>
      <c r="I360" s="67" t="s">
        <v>943</v>
      </c>
      <c r="J360" s="64" t="s">
        <v>8</v>
      </c>
      <c r="K360" s="64"/>
      <c r="L360" s="64" t="s">
        <v>65</v>
      </c>
      <c r="M360" s="64" t="s">
        <v>514</v>
      </c>
      <c r="P360" s="75" t="s">
        <v>935</v>
      </c>
      <c r="Q360" s="64"/>
    </row>
    <row r="361" spans="1:17" ht="119.1" hidden="1">
      <c r="A361" s="70" t="s">
        <v>609</v>
      </c>
      <c r="B361" s="64" t="s">
        <v>937</v>
      </c>
      <c r="C361" s="64"/>
      <c r="D361" s="64"/>
      <c r="E361" s="64"/>
      <c r="F361" s="64"/>
      <c r="G361" s="64"/>
      <c r="H361" s="67"/>
      <c r="I361" s="67" t="s">
        <v>943</v>
      </c>
      <c r="J361" s="64" t="s">
        <v>8</v>
      </c>
      <c r="K361" s="64"/>
      <c r="L361" s="64" t="s">
        <v>65</v>
      </c>
      <c r="M361" s="64" t="s">
        <v>514</v>
      </c>
      <c r="P361" s="75" t="s">
        <v>935</v>
      </c>
      <c r="Q361" s="64"/>
    </row>
    <row r="362" spans="1:17" ht="119.1" hidden="1">
      <c r="A362" s="70" t="s">
        <v>593</v>
      </c>
      <c r="B362" s="64">
        <v>36</v>
      </c>
      <c r="C362" s="64"/>
      <c r="D362" s="64"/>
      <c r="E362" s="64"/>
      <c r="F362" s="64"/>
      <c r="G362" s="64"/>
      <c r="H362" s="67"/>
      <c r="I362" s="67" t="s">
        <v>944</v>
      </c>
      <c r="J362" s="64" t="s">
        <v>8</v>
      </c>
      <c r="K362" s="64"/>
      <c r="L362" s="64" t="s">
        <v>65</v>
      </c>
      <c r="M362" s="64" t="s">
        <v>516</v>
      </c>
      <c r="P362" s="75" t="s">
        <v>935</v>
      </c>
      <c r="Q362" s="64"/>
    </row>
    <row r="363" spans="1:17" ht="119.1" hidden="1">
      <c r="A363" s="70" t="s">
        <v>596</v>
      </c>
      <c r="B363" s="64">
        <v>2</v>
      </c>
      <c r="C363" s="64"/>
      <c r="D363" s="64"/>
      <c r="E363" s="64"/>
      <c r="F363" s="64"/>
      <c r="G363" s="64"/>
      <c r="H363" s="67"/>
      <c r="I363" s="67" t="s">
        <v>944</v>
      </c>
      <c r="J363" s="64" t="s">
        <v>8</v>
      </c>
      <c r="K363" s="64"/>
      <c r="L363" s="64" t="s">
        <v>65</v>
      </c>
      <c r="M363" s="64" t="s">
        <v>516</v>
      </c>
      <c r="P363" s="75" t="s">
        <v>935</v>
      </c>
      <c r="Q363" s="64"/>
    </row>
    <row r="364" spans="1:17" ht="119.1" hidden="1">
      <c r="A364" s="70" t="s">
        <v>598</v>
      </c>
      <c r="B364" s="64">
        <v>0</v>
      </c>
      <c r="C364" s="64"/>
      <c r="D364" s="64"/>
      <c r="E364" s="64"/>
      <c r="F364" s="64"/>
      <c r="G364" s="64"/>
      <c r="H364" s="67"/>
      <c r="I364" s="67" t="s">
        <v>944</v>
      </c>
      <c r="J364" s="64" t="s">
        <v>8</v>
      </c>
      <c r="K364" s="64"/>
      <c r="L364" s="64" t="s">
        <v>65</v>
      </c>
      <c r="M364" s="64" t="s">
        <v>516</v>
      </c>
      <c r="P364" s="75" t="s">
        <v>935</v>
      </c>
      <c r="Q364" s="64"/>
    </row>
    <row r="365" spans="1:17" ht="119.1" hidden="1">
      <c r="A365" s="70" t="s">
        <v>600</v>
      </c>
      <c r="B365" s="64" t="s">
        <v>937</v>
      </c>
      <c r="C365" s="64"/>
      <c r="D365" s="64"/>
      <c r="E365" s="64"/>
      <c r="F365" s="64"/>
      <c r="G365" s="64"/>
      <c r="H365" s="67"/>
      <c r="I365" s="67" t="s">
        <v>944</v>
      </c>
      <c r="J365" s="64" t="s">
        <v>8</v>
      </c>
      <c r="K365" s="64"/>
      <c r="L365" s="64" t="s">
        <v>65</v>
      </c>
      <c r="M365" s="64" t="s">
        <v>516</v>
      </c>
      <c r="P365" s="75" t="s">
        <v>935</v>
      </c>
      <c r="Q365" s="64"/>
    </row>
    <row r="366" spans="1:17" ht="119.1" hidden="1">
      <c r="A366" s="70" t="s">
        <v>606</v>
      </c>
      <c r="B366" s="64">
        <v>153</v>
      </c>
      <c r="C366" s="64"/>
      <c r="D366" s="64"/>
      <c r="E366" s="64"/>
      <c r="F366" s="64"/>
      <c r="G366" s="64"/>
      <c r="H366" s="67"/>
      <c r="I366" s="67" t="s">
        <v>944</v>
      </c>
      <c r="J366" s="64" t="s">
        <v>8</v>
      </c>
      <c r="K366" s="64"/>
      <c r="L366" s="64" t="s">
        <v>65</v>
      </c>
      <c r="M366" s="64" t="s">
        <v>516</v>
      </c>
      <c r="P366" s="75" t="s">
        <v>935</v>
      </c>
      <c r="Q366" s="64"/>
    </row>
    <row r="367" spans="1:17" ht="119.1" hidden="1">
      <c r="A367" s="70" t="s">
        <v>609</v>
      </c>
      <c r="B367" s="64" t="s">
        <v>937</v>
      </c>
      <c r="C367" s="64"/>
      <c r="D367" s="64"/>
      <c r="E367" s="64"/>
      <c r="F367" s="64"/>
      <c r="G367" s="64"/>
      <c r="H367" s="67"/>
      <c r="I367" s="67" t="s">
        <v>944</v>
      </c>
      <c r="J367" s="64" t="s">
        <v>8</v>
      </c>
      <c r="K367" s="64"/>
      <c r="L367" s="64" t="s">
        <v>65</v>
      </c>
      <c r="M367" s="64" t="s">
        <v>516</v>
      </c>
      <c r="P367" s="75" t="s">
        <v>935</v>
      </c>
      <c r="Q367" s="64"/>
    </row>
    <row r="368" spans="1:17" ht="119.1" hidden="1">
      <c r="A368" s="70" t="s">
        <v>593</v>
      </c>
      <c r="B368" s="64">
        <v>1</v>
      </c>
      <c r="C368" s="64"/>
      <c r="D368" s="64"/>
      <c r="E368" s="64"/>
      <c r="F368" s="64"/>
      <c r="G368" s="64"/>
      <c r="H368" s="67"/>
      <c r="I368" s="67" t="s">
        <v>945</v>
      </c>
      <c r="J368" s="64" t="s">
        <v>8</v>
      </c>
      <c r="K368" s="64"/>
      <c r="L368" s="64" t="s">
        <v>65</v>
      </c>
      <c r="M368" s="64" t="s">
        <v>518</v>
      </c>
      <c r="P368" s="75" t="s">
        <v>935</v>
      </c>
      <c r="Q368" s="64"/>
    </row>
    <row r="369" spans="1:17" ht="119.1" hidden="1">
      <c r="A369" s="70" t="s">
        <v>596</v>
      </c>
      <c r="B369" s="64">
        <v>3</v>
      </c>
      <c r="C369" s="64"/>
      <c r="D369" s="64"/>
      <c r="E369" s="64"/>
      <c r="F369" s="64"/>
      <c r="G369" s="64"/>
      <c r="H369" s="67"/>
      <c r="I369" s="67" t="s">
        <v>945</v>
      </c>
      <c r="J369" s="64" t="s">
        <v>8</v>
      </c>
      <c r="K369" s="64"/>
      <c r="L369" s="64" t="s">
        <v>65</v>
      </c>
      <c r="M369" s="64" t="s">
        <v>518</v>
      </c>
      <c r="P369" s="75" t="s">
        <v>935</v>
      </c>
      <c r="Q369" s="64"/>
    </row>
    <row r="370" spans="1:17" ht="119.1" hidden="1">
      <c r="A370" s="70" t="s">
        <v>598</v>
      </c>
      <c r="B370" s="64">
        <v>0</v>
      </c>
      <c r="C370" s="64"/>
      <c r="D370" s="64"/>
      <c r="E370" s="64"/>
      <c r="F370" s="64"/>
      <c r="G370" s="64"/>
      <c r="H370" s="67"/>
      <c r="I370" s="67" t="s">
        <v>945</v>
      </c>
      <c r="J370" s="64" t="s">
        <v>8</v>
      </c>
      <c r="K370" s="64"/>
      <c r="L370" s="64" t="s">
        <v>65</v>
      </c>
      <c r="M370" s="64" t="s">
        <v>518</v>
      </c>
      <c r="P370" s="75" t="s">
        <v>935</v>
      </c>
      <c r="Q370" s="64"/>
    </row>
    <row r="371" spans="1:17" ht="119.1" hidden="1">
      <c r="A371" s="70" t="s">
        <v>600</v>
      </c>
      <c r="B371" s="64" t="s">
        <v>937</v>
      </c>
      <c r="C371" s="64"/>
      <c r="D371" s="64"/>
      <c r="E371" s="64"/>
      <c r="F371" s="64"/>
      <c r="G371" s="64"/>
      <c r="H371" s="67"/>
      <c r="I371" s="67" t="s">
        <v>945</v>
      </c>
      <c r="J371" s="64" t="s">
        <v>8</v>
      </c>
      <c r="K371" s="64"/>
      <c r="L371" s="64" t="s">
        <v>65</v>
      </c>
      <c r="M371" s="64" t="s">
        <v>518</v>
      </c>
      <c r="P371" s="75" t="s">
        <v>935</v>
      </c>
      <c r="Q371" s="64"/>
    </row>
    <row r="372" spans="1:17" ht="119.1" hidden="1">
      <c r="A372" s="70" t="s">
        <v>606</v>
      </c>
      <c r="B372" s="64">
        <v>390</v>
      </c>
      <c r="C372" s="64"/>
      <c r="D372" s="64"/>
      <c r="E372" s="64"/>
      <c r="F372" s="64"/>
      <c r="G372" s="64"/>
      <c r="H372" s="67"/>
      <c r="I372" s="67" t="s">
        <v>945</v>
      </c>
      <c r="J372" s="64" t="s">
        <v>8</v>
      </c>
      <c r="K372" s="64"/>
      <c r="L372" s="64" t="s">
        <v>65</v>
      </c>
      <c r="M372" s="64" t="s">
        <v>518</v>
      </c>
      <c r="P372" s="75" t="s">
        <v>935</v>
      </c>
      <c r="Q372" s="64"/>
    </row>
    <row r="373" spans="1:17" ht="119.1" hidden="1">
      <c r="A373" s="70" t="s">
        <v>609</v>
      </c>
      <c r="B373" s="64" t="s">
        <v>937</v>
      </c>
      <c r="C373" s="64"/>
      <c r="D373" s="64"/>
      <c r="E373" s="64"/>
      <c r="F373" s="64"/>
      <c r="G373" s="64"/>
      <c r="H373" s="67"/>
      <c r="I373" s="67" t="s">
        <v>945</v>
      </c>
      <c r="J373" s="64" t="s">
        <v>8</v>
      </c>
      <c r="K373" s="64"/>
      <c r="L373" s="64" t="s">
        <v>65</v>
      </c>
      <c r="M373" s="64" t="s">
        <v>518</v>
      </c>
      <c r="P373" s="75" t="s">
        <v>935</v>
      </c>
      <c r="Q373" s="64"/>
    </row>
    <row r="374" spans="1:17" ht="170.1" hidden="1">
      <c r="A374" s="70" t="s">
        <v>801</v>
      </c>
      <c r="B374" s="64">
        <v>0.35</v>
      </c>
      <c r="C374" s="64"/>
      <c r="D374" s="64"/>
      <c r="E374" s="64"/>
      <c r="F374" s="64"/>
      <c r="G374" s="64" t="s">
        <v>802</v>
      </c>
      <c r="H374" s="67" t="s">
        <v>803</v>
      </c>
      <c r="I374" s="67" t="s">
        <v>804</v>
      </c>
      <c r="J374" s="64" t="s">
        <v>11</v>
      </c>
      <c r="K374" s="64"/>
      <c r="L374" s="64" t="s">
        <v>381</v>
      </c>
      <c r="M374" s="64"/>
      <c r="P374" s="71" t="s">
        <v>911</v>
      </c>
      <c r="Q374" s="64"/>
    </row>
    <row r="375" spans="1:17" ht="84.95" hidden="1">
      <c r="A375" s="70" t="s">
        <v>801</v>
      </c>
      <c r="B375" s="64">
        <v>1.7500000000000002E-2</v>
      </c>
      <c r="C375" s="64"/>
      <c r="D375" s="64"/>
      <c r="E375" s="64"/>
      <c r="F375" s="64"/>
      <c r="G375" s="64" t="s">
        <v>802</v>
      </c>
      <c r="H375" s="67" t="s">
        <v>820</v>
      </c>
      <c r="I375" s="67" t="s">
        <v>67</v>
      </c>
      <c r="J375" s="64" t="s">
        <v>11</v>
      </c>
      <c r="K375" s="64"/>
      <c r="L375" s="64" t="s">
        <v>61</v>
      </c>
      <c r="M375" s="64"/>
      <c r="N375" t="s">
        <v>916</v>
      </c>
      <c r="O375">
        <v>0.32</v>
      </c>
      <c r="P375" s="75" t="s">
        <v>946</v>
      </c>
      <c r="Q375" s="64"/>
    </row>
    <row r="376" spans="1:17" ht="84.95" hidden="1">
      <c r="A376" s="70" t="s">
        <v>801</v>
      </c>
      <c r="B376" s="64">
        <v>2.1700000000000001E-2</v>
      </c>
      <c r="C376" s="64"/>
      <c r="D376" s="64"/>
      <c r="E376" s="64"/>
      <c r="F376" s="64"/>
      <c r="G376" s="64" t="s">
        <v>802</v>
      </c>
      <c r="H376" s="67" t="s">
        <v>820</v>
      </c>
      <c r="I376" s="67" t="s">
        <v>67</v>
      </c>
      <c r="J376" s="64" t="s">
        <v>11</v>
      </c>
      <c r="K376" s="64"/>
      <c r="L376" s="64" t="s">
        <v>64</v>
      </c>
      <c r="M376" s="64"/>
      <c r="N376" t="s">
        <v>916</v>
      </c>
      <c r="O376">
        <v>0.42499999999999999</v>
      </c>
      <c r="P376" s="67" t="s">
        <v>946</v>
      </c>
      <c r="Q376" s="64"/>
    </row>
    <row r="377" spans="1:17" ht="84.95" hidden="1">
      <c r="A377" s="70" t="s">
        <v>801</v>
      </c>
      <c r="B377" s="64">
        <v>0.02</v>
      </c>
      <c r="C377" s="64"/>
      <c r="D377" s="64"/>
      <c r="E377" s="64"/>
      <c r="F377" s="64"/>
      <c r="G377" s="64" t="s">
        <v>802</v>
      </c>
      <c r="H377" s="67" t="s">
        <v>820</v>
      </c>
      <c r="I377" s="67" t="s">
        <v>67</v>
      </c>
      <c r="J377" s="64" t="s">
        <v>11</v>
      </c>
      <c r="K377" s="64"/>
      <c r="L377" s="64" t="s">
        <v>65</v>
      </c>
      <c r="M377" s="64"/>
      <c r="N377" t="s">
        <v>916</v>
      </c>
      <c r="O377">
        <v>0.372</v>
      </c>
      <c r="P377" s="67" t="s">
        <v>946</v>
      </c>
      <c r="Q377" s="64"/>
    </row>
    <row r="378" spans="1:17" ht="221.1" hidden="1">
      <c r="A378" s="70" t="s">
        <v>806</v>
      </c>
      <c r="B378" s="64">
        <v>0.39200000000000002</v>
      </c>
      <c r="C378" s="64"/>
      <c r="D378" s="64"/>
      <c r="E378" s="64"/>
      <c r="F378" s="64"/>
      <c r="G378" s="64" t="s">
        <v>807</v>
      </c>
      <c r="H378" s="67" t="s">
        <v>808</v>
      </c>
      <c r="I378" s="67" t="s">
        <v>809</v>
      </c>
      <c r="J378" s="64" t="s">
        <v>11</v>
      </c>
      <c r="K378" s="64"/>
      <c r="L378" s="64" t="s">
        <v>381</v>
      </c>
      <c r="M378" s="64"/>
      <c r="P378" s="71" t="s">
        <v>911</v>
      </c>
      <c r="Q378" s="64"/>
    </row>
    <row r="379" spans="1:17" hidden="1">
      <c r="A379" s="70" t="s">
        <v>806</v>
      </c>
      <c r="B379" s="64"/>
      <c r="C379" s="64"/>
      <c r="D379" s="64"/>
      <c r="E379" s="64"/>
      <c r="F379" s="64"/>
      <c r="G379" s="64" t="s">
        <v>810</v>
      </c>
      <c r="H379" s="67"/>
      <c r="I379" s="67"/>
      <c r="J379" s="64" t="s">
        <v>11</v>
      </c>
      <c r="K379" s="64"/>
      <c r="L379" s="64" t="s">
        <v>61</v>
      </c>
      <c r="M379" s="64"/>
      <c r="P379" s="64"/>
      <c r="Q379" s="64"/>
    </row>
    <row r="380" spans="1:17" hidden="1">
      <c r="A380" s="70" t="s">
        <v>806</v>
      </c>
      <c r="B380" s="64"/>
      <c r="C380" s="64"/>
      <c r="D380" s="64"/>
      <c r="E380" s="64"/>
      <c r="F380" s="64"/>
      <c r="G380" s="64" t="s">
        <v>810</v>
      </c>
      <c r="H380" s="67"/>
      <c r="I380" s="67"/>
      <c r="J380" s="64" t="s">
        <v>11</v>
      </c>
      <c r="K380" s="64"/>
      <c r="L380" s="64" t="s">
        <v>64</v>
      </c>
      <c r="M380" s="64"/>
      <c r="P380" s="64"/>
      <c r="Q380" s="64"/>
    </row>
    <row r="381" spans="1:17" hidden="1">
      <c r="A381" s="70" t="s">
        <v>806</v>
      </c>
      <c r="B381" s="64"/>
      <c r="C381" s="64"/>
      <c r="D381" s="64"/>
      <c r="E381" s="64"/>
      <c r="F381" s="64"/>
      <c r="G381" s="64" t="s">
        <v>810</v>
      </c>
      <c r="H381" s="67"/>
      <c r="I381" s="67"/>
      <c r="J381" s="64" t="s">
        <v>11</v>
      </c>
      <c r="K381" s="64"/>
      <c r="L381" s="64" t="s">
        <v>65</v>
      </c>
      <c r="M381" s="64"/>
      <c r="P381" s="64"/>
      <c r="Q381" s="64"/>
    </row>
    <row r="382" spans="1:17" ht="356.1" hidden="1">
      <c r="A382" s="70" t="s">
        <v>812</v>
      </c>
      <c r="B382" s="64">
        <v>0.25800000000000001</v>
      </c>
      <c r="C382" s="64"/>
      <c r="D382" s="64"/>
      <c r="E382" s="64"/>
      <c r="F382" s="64"/>
      <c r="G382" s="64" t="s">
        <v>813</v>
      </c>
      <c r="H382" s="67" t="s">
        <v>814</v>
      </c>
      <c r="I382" s="67"/>
      <c r="J382" s="64" t="s">
        <v>11</v>
      </c>
      <c r="K382" s="64"/>
      <c r="L382" s="64" t="s">
        <v>381</v>
      </c>
      <c r="M382" s="64"/>
      <c r="P382" s="71" t="s">
        <v>911</v>
      </c>
      <c r="Q382" s="64"/>
    </row>
    <row r="383" spans="1:17" hidden="1">
      <c r="A383" s="70" t="s">
        <v>812</v>
      </c>
      <c r="B383" s="64"/>
      <c r="C383" s="64"/>
      <c r="D383" s="64"/>
      <c r="E383" s="64"/>
      <c r="F383" s="64"/>
      <c r="G383" s="64" t="s">
        <v>815</v>
      </c>
      <c r="H383" s="67"/>
      <c r="I383" s="67"/>
      <c r="J383" s="64" t="s">
        <v>11</v>
      </c>
      <c r="K383" s="64"/>
      <c r="L383" s="64" t="s">
        <v>61</v>
      </c>
      <c r="M383" s="64"/>
      <c r="P383" s="64"/>
      <c r="Q383" s="64"/>
    </row>
    <row r="384" spans="1:17" hidden="1">
      <c r="A384" s="70" t="s">
        <v>812</v>
      </c>
      <c r="B384" s="64"/>
      <c r="C384" s="64"/>
      <c r="D384" s="64"/>
      <c r="E384" s="64"/>
      <c r="F384" s="64"/>
      <c r="G384" s="64" t="s">
        <v>815</v>
      </c>
      <c r="H384" s="67"/>
      <c r="I384" s="67"/>
      <c r="J384" s="64" t="s">
        <v>11</v>
      </c>
      <c r="K384" s="64"/>
      <c r="L384" s="64" t="s">
        <v>64</v>
      </c>
      <c r="M384" s="64"/>
      <c r="P384" s="64"/>
      <c r="Q384" s="64"/>
    </row>
    <row r="385" spans="1:17" hidden="1">
      <c r="A385" s="70" t="s">
        <v>812</v>
      </c>
      <c r="B385" s="64"/>
      <c r="C385" s="64"/>
      <c r="D385" s="64"/>
      <c r="E385" s="64"/>
      <c r="F385" s="64"/>
      <c r="G385" s="64" t="s">
        <v>815</v>
      </c>
      <c r="H385" s="67"/>
      <c r="I385" s="67"/>
      <c r="J385" s="64" t="s">
        <v>11</v>
      </c>
      <c r="K385" s="64"/>
      <c r="L385" s="64" t="s">
        <v>65</v>
      </c>
      <c r="M385" s="64"/>
      <c r="P385" s="64"/>
      <c r="Q385" s="64"/>
    </row>
    <row r="386" spans="1:17" ht="221.1" hidden="1">
      <c r="A386" s="70" t="s">
        <v>816</v>
      </c>
      <c r="B386" s="64"/>
      <c r="C386" s="64"/>
      <c r="D386" s="64"/>
      <c r="E386" s="64"/>
      <c r="F386" s="64"/>
      <c r="G386" s="64" t="s">
        <v>818</v>
      </c>
      <c r="H386" s="67"/>
      <c r="I386" s="67" t="s">
        <v>809</v>
      </c>
      <c r="J386" s="64" t="s">
        <v>11</v>
      </c>
      <c r="K386" s="64"/>
      <c r="L386" s="64" t="s">
        <v>381</v>
      </c>
      <c r="M386" s="64"/>
      <c r="P386" s="71" t="s">
        <v>911</v>
      </c>
      <c r="Q386" s="64"/>
    </row>
    <row r="387" spans="1:17" hidden="1">
      <c r="A387" s="70" t="s">
        <v>816</v>
      </c>
      <c r="B387" s="64"/>
      <c r="C387" s="64"/>
      <c r="D387" s="64"/>
      <c r="E387" s="64"/>
      <c r="F387" s="64"/>
      <c r="G387" s="64" t="s">
        <v>818</v>
      </c>
      <c r="H387" s="67"/>
      <c r="I387" s="67"/>
      <c r="J387" s="64" t="s">
        <v>11</v>
      </c>
      <c r="K387" s="64"/>
      <c r="L387" s="64" t="s">
        <v>61</v>
      </c>
      <c r="M387" s="64"/>
      <c r="P387" s="64"/>
      <c r="Q387" s="64"/>
    </row>
    <row r="388" spans="1:17" hidden="1">
      <c r="A388" s="70" t="s">
        <v>816</v>
      </c>
      <c r="B388" s="64"/>
      <c r="C388" s="64"/>
      <c r="D388" s="64"/>
      <c r="E388" s="64"/>
      <c r="F388" s="64"/>
      <c r="G388" s="64" t="s">
        <v>818</v>
      </c>
      <c r="H388" s="67"/>
      <c r="I388" s="67"/>
      <c r="J388" s="64" t="s">
        <v>11</v>
      </c>
      <c r="K388" s="64"/>
      <c r="L388" s="64" t="s">
        <v>64</v>
      </c>
      <c r="M388" s="64"/>
      <c r="P388" s="64"/>
      <c r="Q388" s="64"/>
    </row>
    <row r="389" spans="1:17" hidden="1">
      <c r="A389" s="70" t="s">
        <v>816</v>
      </c>
      <c r="B389" s="64"/>
      <c r="C389" s="64"/>
      <c r="D389" s="64"/>
      <c r="E389" s="64"/>
      <c r="F389" s="64"/>
      <c r="G389" s="64" t="s">
        <v>818</v>
      </c>
      <c r="H389" s="67"/>
      <c r="I389" s="67"/>
      <c r="J389" s="64" t="s">
        <v>11</v>
      </c>
      <c r="K389" s="64"/>
      <c r="L389" s="64" t="s">
        <v>65</v>
      </c>
      <c r="M389" s="64"/>
      <c r="P389" s="64"/>
      <c r="Q389" s="64"/>
    </row>
    <row r="390" spans="1:17" ht="221.1" hidden="1">
      <c r="A390" s="70" t="s">
        <v>821</v>
      </c>
      <c r="B390" s="64"/>
      <c r="C390" s="64"/>
      <c r="D390" s="64"/>
      <c r="E390" s="64"/>
      <c r="F390" s="64"/>
      <c r="G390" s="64" t="s">
        <v>822</v>
      </c>
      <c r="H390" s="67"/>
      <c r="I390" s="67" t="s">
        <v>809</v>
      </c>
      <c r="J390" s="64" t="s">
        <v>11</v>
      </c>
      <c r="K390" s="64"/>
      <c r="L390" s="64" t="s">
        <v>381</v>
      </c>
      <c r="M390" s="64"/>
      <c r="P390" s="71" t="s">
        <v>911</v>
      </c>
      <c r="Q390" s="64"/>
    </row>
    <row r="391" spans="1:17" hidden="1">
      <c r="A391" s="70" t="s">
        <v>821</v>
      </c>
      <c r="B391" s="64"/>
      <c r="C391" s="64"/>
      <c r="D391" s="64"/>
      <c r="E391" s="64"/>
      <c r="F391" s="64"/>
      <c r="G391" s="64" t="s">
        <v>823</v>
      </c>
      <c r="H391" s="67"/>
      <c r="I391" s="67"/>
      <c r="J391" s="64" t="s">
        <v>11</v>
      </c>
      <c r="K391" s="64"/>
      <c r="L391" s="64" t="s">
        <v>61</v>
      </c>
      <c r="M391" s="64"/>
      <c r="P391" s="64"/>
      <c r="Q391" s="64"/>
    </row>
    <row r="392" spans="1:17" hidden="1">
      <c r="A392" s="70" t="s">
        <v>821</v>
      </c>
      <c r="B392" s="64"/>
      <c r="C392" s="64"/>
      <c r="D392" s="64"/>
      <c r="E392" s="64"/>
      <c r="F392" s="64"/>
      <c r="G392" s="64" t="s">
        <v>823</v>
      </c>
      <c r="H392" s="67"/>
      <c r="I392" s="67"/>
      <c r="J392" s="64" t="s">
        <v>11</v>
      </c>
      <c r="K392" s="64"/>
      <c r="L392" s="64" t="s">
        <v>64</v>
      </c>
      <c r="M392" s="64"/>
      <c r="P392" s="64"/>
      <c r="Q392" s="64"/>
    </row>
    <row r="393" spans="1:17" hidden="1">
      <c r="A393" s="70" t="s">
        <v>821</v>
      </c>
      <c r="B393" s="64"/>
      <c r="C393" s="64"/>
      <c r="D393" s="64"/>
      <c r="E393" s="64"/>
      <c r="F393" s="64"/>
      <c r="G393" s="64" t="s">
        <v>823</v>
      </c>
      <c r="H393" s="67"/>
      <c r="I393" s="67"/>
      <c r="J393" s="64" t="s">
        <v>11</v>
      </c>
      <c r="K393" s="64"/>
      <c r="L393" s="64" t="s">
        <v>65</v>
      </c>
      <c r="M393" s="64"/>
      <c r="P393" s="64"/>
      <c r="Q393" s="64"/>
    </row>
    <row r="394" spans="1:17" ht="221.1" hidden="1">
      <c r="A394" s="70" t="s">
        <v>824</v>
      </c>
      <c r="B394" s="64"/>
      <c r="C394" s="64"/>
      <c r="D394" s="64"/>
      <c r="E394" s="64"/>
      <c r="F394" s="64"/>
      <c r="G394" s="64" t="s">
        <v>825</v>
      </c>
      <c r="H394" s="67"/>
      <c r="I394" s="67" t="s">
        <v>809</v>
      </c>
      <c r="J394" s="64" t="s">
        <v>11</v>
      </c>
      <c r="K394" s="64"/>
      <c r="L394" s="64" t="s">
        <v>381</v>
      </c>
      <c r="M394" s="64"/>
      <c r="P394" s="71" t="s">
        <v>911</v>
      </c>
      <c r="Q394" s="64"/>
    </row>
    <row r="395" spans="1:17" hidden="1">
      <c r="A395" s="70" t="s">
        <v>824</v>
      </c>
      <c r="B395" s="64"/>
      <c r="C395" s="64"/>
      <c r="D395" s="64"/>
      <c r="E395" s="64"/>
      <c r="F395" s="64"/>
      <c r="G395" s="64" t="s">
        <v>826</v>
      </c>
      <c r="H395" s="67"/>
      <c r="I395" s="67"/>
      <c r="J395" s="64" t="s">
        <v>11</v>
      </c>
      <c r="K395" s="64"/>
      <c r="L395" s="64" t="s">
        <v>61</v>
      </c>
      <c r="M395" s="64"/>
      <c r="P395" s="64"/>
      <c r="Q395" s="64"/>
    </row>
    <row r="396" spans="1:17" hidden="1">
      <c r="A396" s="70" t="s">
        <v>824</v>
      </c>
      <c r="B396" s="64"/>
      <c r="C396" s="64"/>
      <c r="D396" s="64"/>
      <c r="E396" s="64"/>
      <c r="F396" s="64"/>
      <c r="G396" s="64" t="s">
        <v>826</v>
      </c>
      <c r="H396" s="67"/>
      <c r="I396" s="67"/>
      <c r="J396" s="64" t="s">
        <v>11</v>
      </c>
      <c r="K396" s="64"/>
      <c r="L396" s="64" t="s">
        <v>64</v>
      </c>
      <c r="M396" s="64"/>
      <c r="P396" s="64"/>
      <c r="Q396" s="64"/>
    </row>
    <row r="397" spans="1:17" hidden="1">
      <c r="A397" s="70" t="s">
        <v>824</v>
      </c>
      <c r="B397" s="64"/>
      <c r="C397" s="64"/>
      <c r="D397" s="64"/>
      <c r="E397" s="64"/>
      <c r="F397" s="64"/>
      <c r="G397" s="64" t="s">
        <v>826</v>
      </c>
      <c r="H397" s="67"/>
      <c r="I397" s="67"/>
      <c r="J397" s="64" t="s">
        <v>11</v>
      </c>
      <c r="K397" s="64"/>
      <c r="L397" s="64" t="s">
        <v>65</v>
      </c>
      <c r="M397" s="64"/>
      <c r="P397" s="64"/>
      <c r="Q397" s="64"/>
    </row>
    <row r="398" spans="1:17" ht="51" hidden="1">
      <c r="A398" s="70" t="s">
        <v>827</v>
      </c>
      <c r="B398" s="64">
        <v>7.0000000000000007E-2</v>
      </c>
      <c r="C398" s="64"/>
      <c r="D398" s="64"/>
      <c r="E398" s="64"/>
      <c r="F398" s="64"/>
      <c r="G398" s="64" t="s">
        <v>828</v>
      </c>
      <c r="H398" s="67"/>
      <c r="I398" s="67" t="s">
        <v>829</v>
      </c>
      <c r="J398" s="64" t="s">
        <v>11</v>
      </c>
      <c r="K398" s="64"/>
      <c r="L398" s="64" t="s">
        <v>381</v>
      </c>
      <c r="M398" s="64"/>
      <c r="P398" s="71" t="s">
        <v>911</v>
      </c>
      <c r="Q398" s="64"/>
    </row>
    <row r="399" spans="1:17" ht="51" hidden="1">
      <c r="A399" s="70" t="s">
        <v>827</v>
      </c>
      <c r="B399" s="64"/>
      <c r="C399" s="64"/>
      <c r="D399" s="64"/>
      <c r="E399" s="64"/>
      <c r="F399" s="64"/>
      <c r="G399" s="64" t="s">
        <v>828</v>
      </c>
      <c r="H399" s="67"/>
      <c r="I399" s="67"/>
      <c r="J399" s="64" t="s">
        <v>11</v>
      </c>
      <c r="K399" s="64"/>
      <c r="L399" s="64" t="s">
        <v>61</v>
      </c>
      <c r="M399" s="64"/>
      <c r="P399" s="75" t="s">
        <v>947</v>
      </c>
      <c r="Q399" s="64"/>
    </row>
    <row r="400" spans="1:17" ht="51" hidden="1">
      <c r="A400" s="70" t="s">
        <v>827</v>
      </c>
      <c r="B400" s="64"/>
      <c r="C400" s="64"/>
      <c r="D400" s="64"/>
      <c r="E400" s="64"/>
      <c r="F400" s="64"/>
      <c r="G400" s="64" t="s">
        <v>828</v>
      </c>
      <c r="H400" s="67"/>
      <c r="I400" s="67"/>
      <c r="J400" s="64" t="s">
        <v>11</v>
      </c>
      <c r="K400" s="64"/>
      <c r="L400" s="64" t="s">
        <v>64</v>
      </c>
      <c r="M400" s="64"/>
      <c r="P400" s="67" t="s">
        <v>947</v>
      </c>
      <c r="Q400" s="64"/>
    </row>
    <row r="401" spans="1:17" ht="51" hidden="1">
      <c r="A401" s="70" t="s">
        <v>827</v>
      </c>
      <c r="B401" s="64"/>
      <c r="C401" s="64"/>
      <c r="D401" s="64"/>
      <c r="E401" s="64"/>
      <c r="F401" s="64"/>
      <c r="G401" s="64" t="s">
        <v>828</v>
      </c>
      <c r="H401" s="67"/>
      <c r="I401" s="67"/>
      <c r="J401" s="64" t="s">
        <v>11</v>
      </c>
      <c r="K401" s="64"/>
      <c r="L401" s="64" t="s">
        <v>65</v>
      </c>
      <c r="M401" s="64"/>
      <c r="P401" s="67" t="s">
        <v>947</v>
      </c>
      <c r="Q401" s="64"/>
    </row>
    <row r="402" spans="1:17" ht="204" hidden="1">
      <c r="A402" s="70" t="s">
        <v>831</v>
      </c>
      <c r="B402" s="64">
        <v>0.49</v>
      </c>
      <c r="C402" s="64"/>
      <c r="D402" s="64"/>
      <c r="E402" s="64"/>
      <c r="F402" s="64"/>
      <c r="G402" s="64" t="s">
        <v>832</v>
      </c>
      <c r="H402" s="67" t="s">
        <v>948</v>
      </c>
      <c r="I402" s="67" t="s">
        <v>833</v>
      </c>
      <c r="J402" s="64" t="s">
        <v>11</v>
      </c>
      <c r="K402" s="64"/>
      <c r="L402" s="64" t="s">
        <v>381</v>
      </c>
      <c r="M402" s="64"/>
      <c r="P402" s="71" t="s">
        <v>911</v>
      </c>
      <c r="Q402" s="64"/>
    </row>
    <row r="403" spans="1:17" ht="51" hidden="1">
      <c r="A403" s="70" t="s">
        <v>831</v>
      </c>
      <c r="B403" s="64"/>
      <c r="C403" s="64"/>
      <c r="D403" s="64"/>
      <c r="E403" s="64"/>
      <c r="F403" s="64"/>
      <c r="G403" s="64" t="s">
        <v>832</v>
      </c>
      <c r="H403" s="67"/>
      <c r="I403" s="67" t="s">
        <v>71</v>
      </c>
      <c r="J403" s="64" t="s">
        <v>11</v>
      </c>
      <c r="K403" s="64"/>
      <c r="L403" s="64" t="s">
        <v>61</v>
      </c>
      <c r="M403" s="64"/>
      <c r="P403" s="67" t="s">
        <v>947</v>
      </c>
      <c r="Q403" s="64"/>
    </row>
    <row r="404" spans="1:17" ht="51" hidden="1">
      <c r="A404" s="70" t="s">
        <v>831</v>
      </c>
      <c r="B404" s="64"/>
      <c r="C404" s="64"/>
      <c r="D404" s="64"/>
      <c r="E404" s="64"/>
      <c r="F404" s="64"/>
      <c r="G404" s="64" t="s">
        <v>832</v>
      </c>
      <c r="H404" s="67"/>
      <c r="I404" s="67" t="s">
        <v>71</v>
      </c>
      <c r="J404" s="64" t="s">
        <v>11</v>
      </c>
      <c r="K404" s="64"/>
      <c r="L404" s="64" t="s">
        <v>64</v>
      </c>
      <c r="M404" s="64"/>
      <c r="P404" s="67" t="s">
        <v>947</v>
      </c>
      <c r="Q404" s="64"/>
    </row>
    <row r="405" spans="1:17" ht="51" hidden="1">
      <c r="A405" s="70" t="s">
        <v>831</v>
      </c>
      <c r="B405" s="64"/>
      <c r="C405" s="64"/>
      <c r="D405" s="64"/>
      <c r="E405" s="64"/>
      <c r="F405" s="64"/>
      <c r="G405" s="64" t="s">
        <v>832</v>
      </c>
      <c r="H405" s="67"/>
      <c r="I405" s="67" t="s">
        <v>71</v>
      </c>
      <c r="J405" s="64" t="s">
        <v>11</v>
      </c>
      <c r="K405" s="64"/>
      <c r="L405" s="64" t="s">
        <v>65</v>
      </c>
      <c r="M405" s="64"/>
      <c r="P405" s="67" t="s">
        <v>947</v>
      </c>
      <c r="Q405" s="64"/>
    </row>
    <row r="406" spans="1:17" ht="204" hidden="1">
      <c r="A406" s="70" t="s">
        <v>835</v>
      </c>
      <c r="B406" s="64">
        <v>0.439</v>
      </c>
      <c r="C406" s="64"/>
      <c r="D406" s="64"/>
      <c r="E406" s="64"/>
      <c r="F406" s="64"/>
      <c r="G406" s="64" t="s">
        <v>836</v>
      </c>
      <c r="H406" s="67" t="s">
        <v>948</v>
      </c>
      <c r="I406" s="67" t="s">
        <v>833</v>
      </c>
      <c r="J406" s="64" t="s">
        <v>11</v>
      </c>
      <c r="K406" s="64"/>
      <c r="L406" s="64" t="s">
        <v>381</v>
      </c>
      <c r="M406" s="64"/>
      <c r="P406" s="71" t="s">
        <v>911</v>
      </c>
      <c r="Q406" s="64"/>
    </row>
    <row r="407" spans="1:17" ht="51" hidden="1">
      <c r="A407" s="70" t="s">
        <v>835</v>
      </c>
      <c r="B407" s="64"/>
      <c r="C407" s="64"/>
      <c r="D407" s="64"/>
      <c r="E407" s="64"/>
      <c r="F407" s="64"/>
      <c r="G407" s="64" t="s">
        <v>836</v>
      </c>
      <c r="H407" s="67"/>
      <c r="I407" s="67" t="s">
        <v>71</v>
      </c>
      <c r="J407" s="64" t="s">
        <v>11</v>
      </c>
      <c r="K407" s="64"/>
      <c r="L407" s="64" t="s">
        <v>61</v>
      </c>
      <c r="M407" s="64"/>
      <c r="P407" s="67" t="s">
        <v>947</v>
      </c>
      <c r="Q407" s="64"/>
    </row>
    <row r="408" spans="1:17" ht="51" hidden="1">
      <c r="A408" s="70" t="s">
        <v>835</v>
      </c>
      <c r="B408" s="64"/>
      <c r="C408" s="64"/>
      <c r="D408" s="64"/>
      <c r="E408" s="64"/>
      <c r="F408" s="64"/>
      <c r="G408" s="64" t="s">
        <v>836</v>
      </c>
      <c r="H408" s="67"/>
      <c r="I408" s="67" t="s">
        <v>71</v>
      </c>
      <c r="J408" s="64" t="s">
        <v>11</v>
      </c>
      <c r="K408" s="64"/>
      <c r="L408" s="64" t="s">
        <v>64</v>
      </c>
      <c r="M408" s="64"/>
      <c r="P408" s="67" t="s">
        <v>947</v>
      </c>
      <c r="Q408" s="64"/>
    </row>
    <row r="409" spans="1:17" ht="51" hidden="1">
      <c r="A409" s="70" t="s">
        <v>835</v>
      </c>
      <c r="B409" s="64"/>
      <c r="C409" s="64"/>
      <c r="D409" s="64"/>
      <c r="E409" s="64"/>
      <c r="F409" s="64"/>
      <c r="G409" s="64" t="s">
        <v>836</v>
      </c>
      <c r="H409" s="67"/>
      <c r="I409" s="67" t="s">
        <v>71</v>
      </c>
      <c r="J409" s="64" t="s">
        <v>11</v>
      </c>
      <c r="K409" s="64"/>
      <c r="L409" s="64" t="s">
        <v>65</v>
      </c>
      <c r="M409" s="64"/>
      <c r="P409" s="67" t="s">
        <v>947</v>
      </c>
      <c r="Q409" s="64"/>
    </row>
    <row r="410" spans="1:17" ht="409.6" hidden="1">
      <c r="A410" s="70" t="s">
        <v>837</v>
      </c>
      <c r="B410" s="64">
        <v>0.13400000000000001</v>
      </c>
      <c r="C410" s="64"/>
      <c r="D410" s="64"/>
      <c r="E410" s="64"/>
      <c r="F410" s="64"/>
      <c r="G410" s="64" t="s">
        <v>838</v>
      </c>
      <c r="H410" s="67" t="s">
        <v>949</v>
      </c>
      <c r="I410" s="67" t="s">
        <v>109</v>
      </c>
      <c r="J410" s="64" t="s">
        <v>11</v>
      </c>
      <c r="K410" s="64"/>
      <c r="L410" s="64" t="s">
        <v>381</v>
      </c>
      <c r="M410" s="64"/>
      <c r="P410" s="71" t="s">
        <v>911</v>
      </c>
      <c r="Q410" s="64"/>
    </row>
    <row r="411" spans="1:17" ht="68.099999999999994" hidden="1">
      <c r="A411" s="70" t="s">
        <v>837</v>
      </c>
      <c r="B411" s="64"/>
      <c r="C411" s="64"/>
      <c r="D411" s="64"/>
      <c r="E411" s="64"/>
      <c r="F411" s="64"/>
      <c r="G411" s="64" t="s">
        <v>838</v>
      </c>
      <c r="H411" s="67"/>
      <c r="I411" s="67" t="s">
        <v>109</v>
      </c>
      <c r="J411" s="64" t="s">
        <v>11</v>
      </c>
      <c r="K411" s="64"/>
      <c r="L411" s="64" t="s">
        <v>61</v>
      </c>
      <c r="M411" s="64"/>
      <c r="P411" s="75" t="s">
        <v>950</v>
      </c>
      <c r="Q411" s="64"/>
    </row>
    <row r="412" spans="1:17" ht="68.099999999999994" hidden="1">
      <c r="A412" s="70" t="s">
        <v>837</v>
      </c>
      <c r="B412" s="64"/>
      <c r="C412" s="64"/>
      <c r="D412" s="64"/>
      <c r="E412" s="64"/>
      <c r="F412" s="64"/>
      <c r="G412" s="64" t="s">
        <v>838</v>
      </c>
      <c r="H412" s="67"/>
      <c r="I412" s="67" t="s">
        <v>109</v>
      </c>
      <c r="J412" s="64" t="s">
        <v>11</v>
      </c>
      <c r="K412" s="64"/>
      <c r="L412" s="64" t="s">
        <v>64</v>
      </c>
      <c r="M412" s="64"/>
      <c r="P412" s="67" t="s">
        <v>950</v>
      </c>
      <c r="Q412" s="64"/>
    </row>
    <row r="413" spans="1:17" ht="68.099999999999994" hidden="1">
      <c r="A413" s="70" t="s">
        <v>837</v>
      </c>
      <c r="B413" s="64"/>
      <c r="C413" s="64"/>
      <c r="D413" s="64"/>
      <c r="E413" s="64"/>
      <c r="F413" s="64"/>
      <c r="G413" s="64" t="s">
        <v>838</v>
      </c>
      <c r="H413" s="67"/>
      <c r="I413" s="67" t="s">
        <v>109</v>
      </c>
      <c r="J413" s="64" t="s">
        <v>11</v>
      </c>
      <c r="K413" s="64"/>
      <c r="L413" s="64" t="s">
        <v>65</v>
      </c>
      <c r="M413" s="64"/>
      <c r="P413" s="67" t="s">
        <v>950</v>
      </c>
      <c r="Q413" s="64"/>
    </row>
    <row r="414" spans="1:17" ht="409.6" hidden="1">
      <c r="A414" s="70" t="s">
        <v>840</v>
      </c>
      <c r="B414" s="64">
        <v>0.06</v>
      </c>
      <c r="C414" s="64"/>
      <c r="D414" s="64"/>
      <c r="E414" s="64"/>
      <c r="F414" s="64"/>
      <c r="G414" s="64" t="s">
        <v>841</v>
      </c>
      <c r="H414" s="67" t="s">
        <v>949</v>
      </c>
      <c r="I414" s="67" t="s">
        <v>842</v>
      </c>
      <c r="J414" s="64" t="s">
        <v>11</v>
      </c>
      <c r="K414" s="64"/>
      <c r="L414" s="64" t="s">
        <v>381</v>
      </c>
      <c r="M414" s="64"/>
      <c r="P414" s="71" t="s">
        <v>911</v>
      </c>
      <c r="Q414" s="64"/>
    </row>
    <row r="415" spans="1:17" ht="135.94999999999999" hidden="1">
      <c r="A415" s="70" t="s">
        <v>840</v>
      </c>
      <c r="B415" s="64"/>
      <c r="C415" s="64"/>
      <c r="D415" s="64"/>
      <c r="E415" s="64"/>
      <c r="F415" s="64"/>
      <c r="G415" s="64" t="s">
        <v>841</v>
      </c>
      <c r="H415" s="67"/>
      <c r="I415" s="67" t="s">
        <v>842</v>
      </c>
      <c r="J415" s="64" t="s">
        <v>11</v>
      </c>
      <c r="K415" s="64"/>
      <c r="L415" s="64" t="s">
        <v>61</v>
      </c>
      <c r="M415" s="64"/>
      <c r="P415" s="77" t="s">
        <v>951</v>
      </c>
      <c r="Q415" s="64"/>
    </row>
    <row r="416" spans="1:17" ht="135.94999999999999" hidden="1">
      <c r="A416" s="70" t="s">
        <v>840</v>
      </c>
      <c r="B416" s="64"/>
      <c r="C416" s="64"/>
      <c r="D416" s="64"/>
      <c r="E416" s="64"/>
      <c r="F416" s="64"/>
      <c r="G416" s="64" t="s">
        <v>841</v>
      </c>
      <c r="H416" s="67"/>
      <c r="I416" s="67" t="s">
        <v>842</v>
      </c>
      <c r="J416" s="64" t="s">
        <v>11</v>
      </c>
      <c r="K416" s="64"/>
      <c r="L416" s="64" t="s">
        <v>64</v>
      </c>
      <c r="M416" s="64"/>
      <c r="P416" s="64" t="s">
        <v>951</v>
      </c>
      <c r="Q416" s="64"/>
    </row>
    <row r="417" spans="1:17" ht="135.94999999999999" hidden="1">
      <c r="A417" s="70" t="s">
        <v>840</v>
      </c>
      <c r="B417" s="64"/>
      <c r="C417" s="64"/>
      <c r="D417" s="64"/>
      <c r="E417" s="64"/>
      <c r="F417" s="64"/>
      <c r="G417" s="64" t="s">
        <v>841</v>
      </c>
      <c r="H417" s="67"/>
      <c r="I417" s="67" t="s">
        <v>842</v>
      </c>
      <c r="J417" s="64" t="s">
        <v>11</v>
      </c>
      <c r="K417" s="64"/>
      <c r="L417" s="64" t="s">
        <v>65</v>
      </c>
      <c r="M417" s="64"/>
      <c r="P417" s="64" t="s">
        <v>951</v>
      </c>
      <c r="Q417" s="64"/>
    </row>
    <row r="418" spans="1:17" ht="409.6" hidden="1">
      <c r="A418" s="70" t="s">
        <v>844</v>
      </c>
      <c r="B418" s="64">
        <v>0.26500000000000001</v>
      </c>
      <c r="C418" s="64"/>
      <c r="D418" s="64"/>
      <c r="E418" s="64"/>
      <c r="F418" s="64"/>
      <c r="G418" s="64" t="s">
        <v>845</v>
      </c>
      <c r="H418" s="67" t="s">
        <v>949</v>
      </c>
      <c r="I418" s="67" t="s">
        <v>846</v>
      </c>
      <c r="J418" s="64" t="s">
        <v>11</v>
      </c>
      <c r="K418" s="64"/>
      <c r="L418" s="64" t="s">
        <v>381</v>
      </c>
      <c r="M418" s="64"/>
      <c r="P418" s="71" t="s">
        <v>911</v>
      </c>
      <c r="Q418" s="64"/>
    </row>
    <row r="419" spans="1:17" ht="68.099999999999994" hidden="1">
      <c r="A419" s="70" t="s">
        <v>844</v>
      </c>
      <c r="B419" s="64"/>
      <c r="C419" s="64"/>
      <c r="D419" s="64"/>
      <c r="E419" s="64"/>
      <c r="F419" s="64"/>
      <c r="G419" s="64" t="s">
        <v>845</v>
      </c>
      <c r="H419" s="67"/>
      <c r="I419" s="67" t="s">
        <v>846</v>
      </c>
      <c r="J419" s="64" t="s">
        <v>11</v>
      </c>
      <c r="K419" s="64"/>
      <c r="L419" s="64" t="s">
        <v>61</v>
      </c>
      <c r="M419" s="64"/>
      <c r="P419" s="77" t="s">
        <v>951</v>
      </c>
      <c r="Q419" s="64"/>
    </row>
    <row r="420" spans="1:17" ht="68.099999999999994" hidden="1">
      <c r="A420" s="70" t="s">
        <v>844</v>
      </c>
      <c r="B420" s="64"/>
      <c r="C420" s="64"/>
      <c r="D420" s="64"/>
      <c r="E420" s="64"/>
      <c r="F420" s="64"/>
      <c r="G420" s="64" t="s">
        <v>845</v>
      </c>
      <c r="H420" s="67"/>
      <c r="I420" s="67" t="s">
        <v>846</v>
      </c>
      <c r="J420" s="64" t="s">
        <v>11</v>
      </c>
      <c r="K420" s="64"/>
      <c r="L420" s="64" t="s">
        <v>64</v>
      </c>
      <c r="M420" s="64"/>
      <c r="P420" s="64" t="s">
        <v>951</v>
      </c>
      <c r="Q420" s="64"/>
    </row>
    <row r="421" spans="1:17" ht="68.099999999999994" hidden="1">
      <c r="A421" s="70" t="s">
        <v>844</v>
      </c>
      <c r="B421" s="64"/>
      <c r="C421" s="64"/>
      <c r="D421" s="64"/>
      <c r="E421" s="64"/>
      <c r="F421" s="64"/>
      <c r="G421" s="64" t="s">
        <v>845</v>
      </c>
      <c r="H421" s="67"/>
      <c r="I421" s="67" t="s">
        <v>846</v>
      </c>
      <c r="J421" s="64" t="s">
        <v>11</v>
      </c>
      <c r="K421" s="64"/>
      <c r="L421" s="64" t="s">
        <v>65</v>
      </c>
      <c r="M421" s="64"/>
      <c r="P421" s="64" t="s">
        <v>951</v>
      </c>
      <c r="Q421" s="64"/>
    </row>
    <row r="422" spans="1:17" ht="51" hidden="1">
      <c r="A422" s="70" t="s">
        <v>847</v>
      </c>
      <c r="B422" s="64">
        <v>0.6</v>
      </c>
      <c r="C422" s="64"/>
      <c r="D422" s="64"/>
      <c r="E422" s="64"/>
      <c r="F422" s="64" t="s">
        <v>848</v>
      </c>
      <c r="G422" s="64" t="s">
        <v>849</v>
      </c>
      <c r="H422" s="67"/>
      <c r="I422" s="67" t="s">
        <v>406</v>
      </c>
      <c r="J422" s="64" t="s">
        <v>12</v>
      </c>
      <c r="K422" s="64"/>
      <c r="L422" s="64" t="s">
        <v>381</v>
      </c>
      <c r="M422" s="64"/>
      <c r="P422" s="71" t="s">
        <v>911</v>
      </c>
      <c r="Q422" s="64"/>
    </row>
    <row r="423" spans="1:17" hidden="1">
      <c r="A423" s="70" t="s">
        <v>847</v>
      </c>
      <c r="B423" s="64"/>
      <c r="C423" s="64"/>
      <c r="D423" s="64"/>
      <c r="E423" s="64"/>
      <c r="F423" s="64" t="s">
        <v>848</v>
      </c>
      <c r="G423" s="64" t="s">
        <v>849</v>
      </c>
      <c r="H423" s="67"/>
      <c r="I423" s="67"/>
      <c r="J423" s="64" t="s">
        <v>12</v>
      </c>
      <c r="K423" s="64"/>
      <c r="L423" s="64" t="s">
        <v>61</v>
      </c>
      <c r="M423" s="64"/>
      <c r="P423" s="64"/>
      <c r="Q423" s="64"/>
    </row>
    <row r="424" spans="1:17" hidden="1">
      <c r="A424" s="70" t="s">
        <v>847</v>
      </c>
      <c r="B424" s="64"/>
      <c r="C424" s="64"/>
      <c r="D424" s="64"/>
      <c r="E424" s="64"/>
      <c r="F424" s="64" t="s">
        <v>848</v>
      </c>
      <c r="G424" s="64" t="s">
        <v>849</v>
      </c>
      <c r="H424" s="67"/>
      <c r="I424" s="67"/>
      <c r="J424" s="64" t="s">
        <v>12</v>
      </c>
      <c r="K424" s="64"/>
      <c r="L424" s="64" t="s">
        <v>64</v>
      </c>
      <c r="M424" s="64"/>
      <c r="P424" s="64"/>
      <c r="Q424" s="64"/>
    </row>
    <row r="425" spans="1:17" hidden="1">
      <c r="A425" s="70" t="s">
        <v>847</v>
      </c>
      <c r="B425" s="64"/>
      <c r="C425" s="64"/>
      <c r="D425" s="64"/>
      <c r="E425" s="64"/>
      <c r="F425" s="64" t="s">
        <v>848</v>
      </c>
      <c r="G425" s="64" t="s">
        <v>849</v>
      </c>
      <c r="H425" s="67"/>
      <c r="I425" s="67"/>
      <c r="J425" s="64" t="s">
        <v>12</v>
      </c>
      <c r="K425" s="64"/>
      <c r="L425" s="64" t="s">
        <v>65</v>
      </c>
      <c r="M425" s="64"/>
      <c r="P425" s="64"/>
      <c r="Q425" s="64"/>
    </row>
    <row r="426" spans="1:17" ht="33.950000000000003" hidden="1">
      <c r="A426" s="70" t="s">
        <v>850</v>
      </c>
      <c r="B426" s="64">
        <v>0.38159999999999999</v>
      </c>
      <c r="C426" s="64"/>
      <c r="D426" s="64"/>
      <c r="E426" s="64"/>
      <c r="F426" s="64" t="s">
        <v>848</v>
      </c>
      <c r="G426" s="64" t="s">
        <v>851</v>
      </c>
      <c r="H426" s="67"/>
      <c r="I426" s="67" t="s">
        <v>852</v>
      </c>
      <c r="J426" s="64" t="s">
        <v>12</v>
      </c>
      <c r="K426" s="64"/>
      <c r="L426" s="64" t="s">
        <v>381</v>
      </c>
      <c r="M426" s="64"/>
      <c r="P426" s="71" t="s">
        <v>911</v>
      </c>
      <c r="Q426" s="64"/>
    </row>
    <row r="427" spans="1:17" hidden="1">
      <c r="A427" s="70" t="s">
        <v>850</v>
      </c>
      <c r="B427" s="64"/>
      <c r="C427" s="64"/>
      <c r="D427" s="64"/>
      <c r="E427" s="64"/>
      <c r="F427" s="64" t="s">
        <v>848</v>
      </c>
      <c r="G427" s="64" t="s">
        <v>851</v>
      </c>
      <c r="H427" s="67"/>
      <c r="I427" s="67"/>
      <c r="J427" s="64" t="s">
        <v>12</v>
      </c>
      <c r="K427" s="64"/>
      <c r="L427" s="64" t="s">
        <v>61</v>
      </c>
      <c r="M427" s="64"/>
      <c r="P427" s="64"/>
      <c r="Q427" s="64"/>
    </row>
    <row r="428" spans="1:17" hidden="1">
      <c r="A428" s="70" t="s">
        <v>850</v>
      </c>
      <c r="B428" s="64"/>
      <c r="C428" s="64"/>
      <c r="D428" s="64"/>
      <c r="E428" s="64"/>
      <c r="F428" s="64" t="s">
        <v>848</v>
      </c>
      <c r="G428" s="64" t="s">
        <v>851</v>
      </c>
      <c r="H428" s="67"/>
      <c r="I428" s="67"/>
      <c r="J428" s="64" t="s">
        <v>12</v>
      </c>
      <c r="K428" s="64"/>
      <c r="L428" s="64" t="s">
        <v>64</v>
      </c>
      <c r="M428" s="64"/>
      <c r="P428" s="64"/>
      <c r="Q428" s="64"/>
    </row>
    <row r="429" spans="1:17" hidden="1">
      <c r="A429" s="70" t="s">
        <v>850</v>
      </c>
      <c r="B429" s="64"/>
      <c r="C429" s="64"/>
      <c r="D429" s="64"/>
      <c r="E429" s="64"/>
      <c r="F429" s="64" t="s">
        <v>848</v>
      </c>
      <c r="G429" s="64" t="s">
        <v>851</v>
      </c>
      <c r="H429" s="67"/>
      <c r="I429" s="67"/>
      <c r="J429" s="64" t="s">
        <v>12</v>
      </c>
      <c r="K429" s="64"/>
      <c r="L429" s="64" t="s">
        <v>65</v>
      </c>
      <c r="M429" s="64"/>
      <c r="P429" s="64"/>
      <c r="Q429" s="64"/>
    </row>
    <row r="430" spans="1:17" ht="33.950000000000003" hidden="1">
      <c r="A430" s="70" t="s">
        <v>853</v>
      </c>
      <c r="B430" s="64">
        <v>0.56000000000000005</v>
      </c>
      <c r="C430" s="64"/>
      <c r="D430" s="64"/>
      <c r="E430" s="64"/>
      <c r="F430" s="64" t="s">
        <v>848</v>
      </c>
      <c r="G430" s="64" t="s">
        <v>854</v>
      </c>
      <c r="H430" s="67"/>
      <c r="I430" s="67" t="s">
        <v>394</v>
      </c>
      <c r="J430" s="64" t="s">
        <v>12</v>
      </c>
      <c r="K430" s="64"/>
      <c r="L430" s="64" t="s">
        <v>381</v>
      </c>
      <c r="M430" s="64"/>
      <c r="P430" s="71" t="s">
        <v>911</v>
      </c>
      <c r="Q430" s="64"/>
    </row>
    <row r="431" spans="1:17" hidden="1">
      <c r="A431" s="70" t="s">
        <v>853</v>
      </c>
      <c r="B431" s="64"/>
      <c r="C431" s="64"/>
      <c r="D431" s="64"/>
      <c r="E431" s="64"/>
      <c r="F431" s="64" t="s">
        <v>848</v>
      </c>
      <c r="G431" s="64" t="s">
        <v>854</v>
      </c>
      <c r="H431" s="67"/>
      <c r="I431" s="67"/>
      <c r="J431" s="64" t="s">
        <v>12</v>
      </c>
      <c r="K431" s="64"/>
      <c r="L431" s="64" t="s">
        <v>61</v>
      </c>
      <c r="M431" s="64"/>
      <c r="P431" s="64"/>
      <c r="Q431" s="64"/>
    </row>
    <row r="432" spans="1:17" hidden="1">
      <c r="A432" s="70" t="s">
        <v>853</v>
      </c>
      <c r="B432" s="64"/>
      <c r="C432" s="64"/>
      <c r="D432" s="64"/>
      <c r="E432" s="64"/>
      <c r="F432" s="64" t="s">
        <v>848</v>
      </c>
      <c r="G432" s="64" t="s">
        <v>854</v>
      </c>
      <c r="H432" s="67"/>
      <c r="I432" s="67"/>
      <c r="J432" s="64" t="s">
        <v>12</v>
      </c>
      <c r="K432" s="64"/>
      <c r="L432" s="64" t="s">
        <v>64</v>
      </c>
      <c r="M432" s="64"/>
      <c r="P432" s="64"/>
      <c r="Q432" s="64"/>
    </row>
    <row r="433" spans="1:17" hidden="1">
      <c r="A433" s="70" t="s">
        <v>853</v>
      </c>
      <c r="B433" s="64"/>
      <c r="C433" s="64"/>
      <c r="D433" s="64"/>
      <c r="E433" s="64"/>
      <c r="F433" s="64" t="s">
        <v>848</v>
      </c>
      <c r="G433" s="64" t="s">
        <v>854</v>
      </c>
      <c r="H433" s="67"/>
      <c r="I433" s="67"/>
      <c r="J433" s="64" t="s">
        <v>12</v>
      </c>
      <c r="K433" s="64"/>
      <c r="L433" s="64" t="s">
        <v>65</v>
      </c>
      <c r="M433" s="64"/>
      <c r="P433" s="64"/>
      <c r="Q433" s="64"/>
    </row>
    <row r="434" spans="1:17" ht="204" hidden="1">
      <c r="A434" s="70" t="s">
        <v>855</v>
      </c>
      <c r="B434" s="64">
        <v>0.44</v>
      </c>
      <c r="C434" s="64"/>
      <c r="D434" s="64"/>
      <c r="E434" s="64"/>
      <c r="F434" s="64" t="s">
        <v>848</v>
      </c>
      <c r="G434" s="64" t="s">
        <v>856</v>
      </c>
      <c r="H434" s="67" t="s">
        <v>857</v>
      </c>
      <c r="I434" s="67" t="s">
        <v>72</v>
      </c>
      <c r="J434" s="64" t="s">
        <v>12</v>
      </c>
      <c r="K434" s="64"/>
      <c r="L434" s="64" t="s">
        <v>381</v>
      </c>
      <c r="M434" s="64"/>
      <c r="P434" s="76" t="s">
        <v>911</v>
      </c>
      <c r="Q434" s="64"/>
    </row>
    <row r="435" spans="1:17" ht="153" hidden="1">
      <c r="A435" s="70" t="s">
        <v>855</v>
      </c>
      <c r="B435" s="64"/>
      <c r="C435" s="64"/>
      <c r="D435" s="64"/>
      <c r="E435" s="64"/>
      <c r="F435" s="64" t="s">
        <v>848</v>
      </c>
      <c r="G435" s="64" t="s">
        <v>856</v>
      </c>
      <c r="H435" s="67"/>
      <c r="I435" s="67" t="s">
        <v>72</v>
      </c>
      <c r="J435" s="64" t="s">
        <v>12</v>
      </c>
      <c r="K435" s="64"/>
      <c r="L435" s="64" t="s">
        <v>61</v>
      </c>
      <c r="M435" s="64"/>
      <c r="P435" s="75" t="s">
        <v>932</v>
      </c>
      <c r="Q435" s="64"/>
    </row>
    <row r="436" spans="1:17" ht="153" hidden="1">
      <c r="A436" s="70" t="s">
        <v>855</v>
      </c>
      <c r="B436" s="64"/>
      <c r="C436" s="64"/>
      <c r="D436" s="64"/>
      <c r="E436" s="64"/>
      <c r="F436" s="64" t="s">
        <v>848</v>
      </c>
      <c r="G436" s="64" t="s">
        <v>856</v>
      </c>
      <c r="H436" s="67"/>
      <c r="I436" s="67" t="s">
        <v>72</v>
      </c>
      <c r="J436" s="64" t="s">
        <v>12</v>
      </c>
      <c r="K436" s="64"/>
      <c r="L436" s="64" t="s">
        <v>64</v>
      </c>
      <c r="M436" s="64"/>
      <c r="P436" s="67" t="s">
        <v>932</v>
      </c>
      <c r="Q436" s="64"/>
    </row>
    <row r="437" spans="1:17" ht="153" hidden="1">
      <c r="A437" s="70" t="s">
        <v>855</v>
      </c>
      <c r="B437" s="64"/>
      <c r="C437" s="64"/>
      <c r="D437" s="64"/>
      <c r="E437" s="64"/>
      <c r="F437" s="64" t="s">
        <v>848</v>
      </c>
      <c r="G437" s="64" t="s">
        <v>856</v>
      </c>
      <c r="H437" s="67"/>
      <c r="I437" s="67" t="s">
        <v>72</v>
      </c>
      <c r="J437" s="64" t="s">
        <v>12</v>
      </c>
      <c r="K437" s="64"/>
      <c r="L437" s="64" t="s">
        <v>65</v>
      </c>
      <c r="M437" s="64"/>
      <c r="P437" s="67" t="s">
        <v>932</v>
      </c>
      <c r="Q437" s="64"/>
    </row>
    <row r="438" spans="1:17" ht="84.95" hidden="1">
      <c r="A438" s="70" t="s">
        <v>858</v>
      </c>
      <c r="B438" s="64">
        <v>76</v>
      </c>
      <c r="C438" s="64"/>
      <c r="D438" s="64"/>
      <c r="E438" s="64"/>
      <c r="F438" s="64" t="s">
        <v>848</v>
      </c>
      <c r="G438" s="64" t="s">
        <v>859</v>
      </c>
      <c r="H438" s="67"/>
      <c r="I438" s="67" t="s">
        <v>432</v>
      </c>
      <c r="J438" s="64" t="s">
        <v>12</v>
      </c>
      <c r="K438" s="64"/>
      <c r="L438" s="64" t="s">
        <v>381</v>
      </c>
      <c r="M438" s="64"/>
      <c r="P438" s="71" t="s">
        <v>911</v>
      </c>
      <c r="Q438" s="64"/>
    </row>
    <row r="439" spans="1:17" ht="186.95" hidden="1">
      <c r="A439" s="70" t="s">
        <v>860</v>
      </c>
      <c r="B439" s="64" t="s">
        <v>861</v>
      </c>
      <c r="C439" s="64"/>
      <c r="D439" s="64"/>
      <c r="E439" s="64"/>
      <c r="F439" s="64" t="s">
        <v>862</v>
      </c>
      <c r="G439" s="64" t="s">
        <v>863</v>
      </c>
      <c r="H439" s="67" t="s">
        <v>864</v>
      </c>
      <c r="I439" s="67" t="s">
        <v>74</v>
      </c>
      <c r="J439" s="64" t="s">
        <v>12</v>
      </c>
      <c r="K439" s="64"/>
      <c r="L439" s="64" t="s">
        <v>381</v>
      </c>
      <c r="M439" s="64"/>
      <c r="P439" s="71" t="s">
        <v>911</v>
      </c>
      <c r="Q439" s="64"/>
    </row>
    <row r="440" spans="1:17" ht="170.1" hidden="1">
      <c r="A440" s="70" t="s">
        <v>860</v>
      </c>
      <c r="B440" s="64"/>
      <c r="C440" s="64"/>
      <c r="D440" s="64"/>
      <c r="E440" s="64"/>
      <c r="F440" s="64" t="s">
        <v>862</v>
      </c>
      <c r="G440" s="64" t="s">
        <v>863</v>
      </c>
      <c r="H440" s="67"/>
      <c r="I440" s="67" t="s">
        <v>74</v>
      </c>
      <c r="J440" s="64" t="s">
        <v>12</v>
      </c>
      <c r="K440" s="64"/>
      <c r="L440" s="64" t="s">
        <v>61</v>
      </c>
      <c r="M440" s="64"/>
      <c r="P440" s="75" t="s">
        <v>926</v>
      </c>
      <c r="Q440" s="64"/>
    </row>
    <row r="441" spans="1:17" ht="170.1" hidden="1">
      <c r="A441" s="70" t="s">
        <v>860</v>
      </c>
      <c r="B441" s="64"/>
      <c r="C441" s="64"/>
      <c r="D441" s="64"/>
      <c r="E441" s="64"/>
      <c r="F441" s="64" t="s">
        <v>862</v>
      </c>
      <c r="G441" s="64" t="s">
        <v>863</v>
      </c>
      <c r="H441" s="67"/>
      <c r="I441" s="67" t="s">
        <v>74</v>
      </c>
      <c r="J441" s="64" t="s">
        <v>12</v>
      </c>
      <c r="K441" s="64"/>
      <c r="L441" s="64" t="s">
        <v>64</v>
      </c>
      <c r="M441" s="64"/>
      <c r="P441" s="67" t="s">
        <v>926</v>
      </c>
      <c r="Q441" s="64"/>
    </row>
    <row r="442" spans="1:17" ht="170.1" hidden="1">
      <c r="A442" s="70" t="s">
        <v>860</v>
      </c>
      <c r="B442" s="64"/>
      <c r="C442" s="64"/>
      <c r="D442" s="64"/>
      <c r="E442" s="64"/>
      <c r="F442" s="64" t="s">
        <v>862</v>
      </c>
      <c r="G442" s="64" t="s">
        <v>863</v>
      </c>
      <c r="H442" s="67"/>
      <c r="I442" s="67" t="s">
        <v>74</v>
      </c>
      <c r="J442" s="64" t="s">
        <v>12</v>
      </c>
      <c r="K442" s="64"/>
      <c r="L442" s="64" t="s">
        <v>65</v>
      </c>
      <c r="M442" s="64"/>
      <c r="P442" s="67" t="s">
        <v>926</v>
      </c>
      <c r="Q442" s="64"/>
    </row>
    <row r="443" spans="1:17" ht="170.1" hidden="1">
      <c r="A443" s="70" t="s">
        <v>865</v>
      </c>
      <c r="B443" s="64" t="s">
        <v>866</v>
      </c>
      <c r="C443" s="64"/>
      <c r="D443" s="64"/>
      <c r="E443" s="64"/>
      <c r="F443" s="64" t="s">
        <v>862</v>
      </c>
      <c r="G443" s="64" t="s">
        <v>867</v>
      </c>
      <c r="H443" s="67" t="s">
        <v>868</v>
      </c>
      <c r="I443" s="67" t="s">
        <v>77</v>
      </c>
      <c r="J443" s="64" t="s">
        <v>12</v>
      </c>
      <c r="K443" s="64"/>
      <c r="L443" s="64" t="s">
        <v>381</v>
      </c>
      <c r="M443" s="64"/>
      <c r="P443" s="71" t="s">
        <v>911</v>
      </c>
      <c r="Q443" s="64"/>
    </row>
    <row r="444" spans="1:17" ht="84.95" hidden="1">
      <c r="A444" s="70" t="s">
        <v>865</v>
      </c>
      <c r="B444" s="64"/>
      <c r="C444" s="64"/>
      <c r="D444" s="64"/>
      <c r="E444" s="64"/>
      <c r="F444" s="64" t="s">
        <v>862</v>
      </c>
      <c r="G444" s="64" t="s">
        <v>867</v>
      </c>
      <c r="H444" s="67"/>
      <c r="I444" s="67" t="s">
        <v>77</v>
      </c>
      <c r="J444" s="64" t="s">
        <v>12</v>
      </c>
      <c r="K444" s="64"/>
      <c r="L444" s="64" t="s">
        <v>61</v>
      </c>
      <c r="M444" s="64"/>
      <c r="P444" s="75" t="s">
        <v>927</v>
      </c>
      <c r="Q444" s="64"/>
    </row>
    <row r="445" spans="1:17" ht="84.95" hidden="1">
      <c r="A445" s="70" t="s">
        <v>865</v>
      </c>
      <c r="B445" s="64"/>
      <c r="C445" s="64"/>
      <c r="D445" s="64"/>
      <c r="E445" s="64"/>
      <c r="F445" s="64" t="s">
        <v>862</v>
      </c>
      <c r="G445" s="64" t="s">
        <v>867</v>
      </c>
      <c r="H445" s="67"/>
      <c r="I445" s="67" t="s">
        <v>77</v>
      </c>
      <c r="J445" s="64" t="s">
        <v>12</v>
      </c>
      <c r="K445" s="64"/>
      <c r="L445" s="64" t="s">
        <v>64</v>
      </c>
      <c r="M445" s="64"/>
      <c r="P445" s="67" t="s">
        <v>927</v>
      </c>
      <c r="Q445" s="64"/>
    </row>
    <row r="446" spans="1:17" ht="84.95" hidden="1">
      <c r="A446" s="70" t="s">
        <v>865</v>
      </c>
      <c r="B446" s="64"/>
      <c r="C446" s="64"/>
      <c r="D446" s="64"/>
      <c r="E446" s="64"/>
      <c r="F446" s="64" t="s">
        <v>862</v>
      </c>
      <c r="G446" s="64" t="s">
        <v>867</v>
      </c>
      <c r="H446" s="67"/>
      <c r="I446" s="67" t="s">
        <v>77</v>
      </c>
      <c r="J446" s="64" t="s">
        <v>12</v>
      </c>
      <c r="K446" s="64"/>
      <c r="L446" s="64" t="s">
        <v>65</v>
      </c>
      <c r="M446" s="64"/>
      <c r="P446" s="67" t="s">
        <v>927</v>
      </c>
      <c r="Q446" s="64"/>
    </row>
    <row r="447" spans="1:17" ht="170.1" hidden="1">
      <c r="A447" s="70" t="s">
        <v>869</v>
      </c>
      <c r="B447" s="64" t="s">
        <v>870</v>
      </c>
      <c r="C447" s="64"/>
      <c r="D447" s="64"/>
      <c r="E447" s="64"/>
      <c r="F447" s="64" t="s">
        <v>862</v>
      </c>
      <c r="G447" s="64" t="s">
        <v>871</v>
      </c>
      <c r="H447" s="67" t="s">
        <v>872</v>
      </c>
      <c r="I447" s="67" t="s">
        <v>76</v>
      </c>
      <c r="J447" s="64" t="s">
        <v>12</v>
      </c>
      <c r="K447" s="64"/>
      <c r="L447" s="64" t="s">
        <v>381</v>
      </c>
      <c r="M447" s="64"/>
      <c r="P447" s="71" t="s">
        <v>911</v>
      </c>
      <c r="Q447" s="64"/>
    </row>
    <row r="448" spans="1:17" ht="84.95" hidden="1">
      <c r="A448" s="70" t="s">
        <v>869</v>
      </c>
      <c r="B448" s="64"/>
      <c r="C448" s="64"/>
      <c r="D448" s="64"/>
      <c r="E448" s="64"/>
      <c r="F448" s="64" t="s">
        <v>862</v>
      </c>
      <c r="G448" s="64" t="s">
        <v>871</v>
      </c>
      <c r="H448" s="67"/>
      <c r="I448" s="67" t="s">
        <v>76</v>
      </c>
      <c r="J448" s="64" t="s">
        <v>12</v>
      </c>
      <c r="K448" s="64"/>
      <c r="L448" s="64" t="s">
        <v>61</v>
      </c>
      <c r="M448" s="64"/>
      <c r="P448" s="75" t="s">
        <v>928</v>
      </c>
      <c r="Q448" s="64"/>
    </row>
    <row r="449" spans="1:17" ht="84.95" hidden="1">
      <c r="A449" s="70" t="s">
        <v>869</v>
      </c>
      <c r="B449" s="64"/>
      <c r="C449" s="64"/>
      <c r="D449" s="64"/>
      <c r="E449" s="64"/>
      <c r="F449" s="64" t="s">
        <v>862</v>
      </c>
      <c r="G449" s="64" t="s">
        <v>871</v>
      </c>
      <c r="H449" s="67"/>
      <c r="I449" s="67" t="s">
        <v>76</v>
      </c>
      <c r="J449" s="64" t="s">
        <v>12</v>
      </c>
      <c r="K449" s="64"/>
      <c r="L449" s="64" t="s">
        <v>64</v>
      </c>
      <c r="M449" s="64"/>
      <c r="P449" s="67" t="s">
        <v>928</v>
      </c>
      <c r="Q449" s="64"/>
    </row>
    <row r="450" spans="1:17" ht="84.95" hidden="1">
      <c r="A450" s="70" t="s">
        <v>869</v>
      </c>
      <c r="B450" s="64"/>
      <c r="C450" s="64"/>
      <c r="D450" s="64"/>
      <c r="E450" s="64"/>
      <c r="F450" s="64" t="s">
        <v>862</v>
      </c>
      <c r="G450" s="64" t="s">
        <v>871</v>
      </c>
      <c r="H450" s="67"/>
      <c r="I450" s="67" t="s">
        <v>76</v>
      </c>
      <c r="J450" s="64" t="s">
        <v>12</v>
      </c>
      <c r="K450" s="64"/>
      <c r="L450" s="64" t="s">
        <v>65</v>
      </c>
      <c r="M450" s="64"/>
      <c r="P450" s="67" t="s">
        <v>928</v>
      </c>
      <c r="Q450" s="64"/>
    </row>
    <row r="451" spans="1:17" ht="102" hidden="1">
      <c r="A451" s="70" t="s">
        <v>873</v>
      </c>
      <c r="B451" s="64" t="s">
        <v>874</v>
      </c>
      <c r="C451" s="64"/>
      <c r="D451" s="64"/>
      <c r="E451" s="64"/>
      <c r="F451" s="64" t="s">
        <v>862</v>
      </c>
      <c r="G451" s="64" t="s">
        <v>875</v>
      </c>
      <c r="H451" s="67" t="s">
        <v>876</v>
      </c>
      <c r="I451" s="67" t="s">
        <v>75</v>
      </c>
      <c r="J451" s="64" t="s">
        <v>12</v>
      </c>
      <c r="K451" s="64"/>
      <c r="L451" s="64" t="s">
        <v>381</v>
      </c>
      <c r="M451" s="64"/>
      <c r="P451" s="74" t="s">
        <v>911</v>
      </c>
      <c r="Q451" s="64"/>
    </row>
    <row r="452" spans="1:17" ht="68.099999999999994" hidden="1">
      <c r="A452" s="70" t="s">
        <v>873</v>
      </c>
      <c r="B452" s="64"/>
      <c r="C452" s="64"/>
      <c r="D452" s="64"/>
      <c r="E452" s="64"/>
      <c r="F452" s="64" t="s">
        <v>862</v>
      </c>
      <c r="G452" s="64" t="s">
        <v>875</v>
      </c>
      <c r="H452" s="67"/>
      <c r="I452" s="67" t="s">
        <v>75</v>
      </c>
      <c r="J452" s="64" t="s">
        <v>12</v>
      </c>
      <c r="K452" s="64"/>
      <c r="L452" s="64" t="s">
        <v>61</v>
      </c>
      <c r="M452" s="64"/>
      <c r="P452" s="75" t="s">
        <v>930</v>
      </c>
      <c r="Q452" s="64"/>
    </row>
    <row r="453" spans="1:17" ht="68.099999999999994" hidden="1">
      <c r="A453" s="70" t="s">
        <v>873</v>
      </c>
      <c r="B453" s="64"/>
      <c r="C453" s="64"/>
      <c r="D453" s="64"/>
      <c r="E453" s="64"/>
      <c r="F453" s="64" t="s">
        <v>862</v>
      </c>
      <c r="G453" s="64" t="s">
        <v>875</v>
      </c>
      <c r="H453" s="67"/>
      <c r="I453" s="67" t="s">
        <v>75</v>
      </c>
      <c r="J453" s="64" t="s">
        <v>12</v>
      </c>
      <c r="K453" s="64"/>
      <c r="L453" s="64" t="s">
        <v>64</v>
      </c>
      <c r="M453" s="64"/>
      <c r="P453" s="67" t="s">
        <v>930</v>
      </c>
      <c r="Q453" s="64"/>
    </row>
    <row r="454" spans="1:17" ht="68.099999999999994" hidden="1">
      <c r="A454" s="70" t="s">
        <v>873</v>
      </c>
      <c r="B454" s="64"/>
      <c r="C454" s="64"/>
      <c r="D454" s="64"/>
      <c r="E454" s="64"/>
      <c r="F454" s="64" t="s">
        <v>862</v>
      </c>
      <c r="G454" s="64" t="s">
        <v>875</v>
      </c>
      <c r="H454" s="67"/>
      <c r="I454" s="67" t="s">
        <v>75</v>
      </c>
      <c r="J454" s="64" t="s">
        <v>12</v>
      </c>
      <c r="K454" s="64"/>
      <c r="L454" s="64" t="s">
        <v>65</v>
      </c>
      <c r="M454" s="64"/>
      <c r="P454" s="67" t="s">
        <v>930</v>
      </c>
      <c r="Q454" s="7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7C78-78FD-8D40-8641-E3839DD7E1F1}">
  <sheetPr>
    <tabColor theme="8" tint="0.79998168889431442"/>
  </sheetPr>
  <dimension ref="A1:G64"/>
  <sheetViews>
    <sheetView workbookViewId="0">
      <selection activeCell="B51" sqref="B51"/>
    </sheetView>
  </sheetViews>
  <sheetFormatPr defaultColWidth="11" defaultRowHeight="15.95"/>
  <cols>
    <col min="1" max="1" width="24.125" bestFit="1" customWidth="1"/>
    <col min="2" max="2" width="39.875" bestFit="1" customWidth="1"/>
    <col min="3" max="3" width="31" style="29" customWidth="1"/>
    <col min="4" max="4" width="42" style="29" customWidth="1"/>
  </cols>
  <sheetData>
    <row r="1" spans="1:7">
      <c r="A1" s="22" t="s">
        <v>952</v>
      </c>
    </row>
    <row r="2" spans="1:7">
      <c r="A2" s="22" t="s">
        <v>953</v>
      </c>
    </row>
    <row r="3" spans="1:7">
      <c r="G3" s="28" t="s">
        <v>954</v>
      </c>
    </row>
    <row r="4" spans="1:7" ht="17.100000000000001">
      <c r="A4" s="61" t="s">
        <v>89</v>
      </c>
      <c r="B4" s="61" t="s">
        <v>96</v>
      </c>
      <c r="C4" s="62" t="s">
        <v>98</v>
      </c>
      <c r="D4" s="62" t="s">
        <v>955</v>
      </c>
    </row>
    <row r="5" spans="1:7" ht="17.100000000000001">
      <c r="A5" s="63" t="s">
        <v>378</v>
      </c>
      <c r="B5" t="s">
        <v>379</v>
      </c>
      <c r="C5" s="29" t="s">
        <v>380</v>
      </c>
      <c r="D5" s="29" t="s">
        <v>956</v>
      </c>
    </row>
    <row r="6" spans="1:7" ht="17.100000000000001">
      <c r="A6" t="s">
        <v>382</v>
      </c>
      <c r="B6" t="s">
        <v>383</v>
      </c>
      <c r="C6" s="29" t="s">
        <v>66</v>
      </c>
      <c r="D6" s="29" t="s">
        <v>957</v>
      </c>
    </row>
    <row r="7" spans="1:7" ht="17.100000000000001">
      <c r="A7" t="s">
        <v>386</v>
      </c>
      <c r="B7" t="s">
        <v>387</v>
      </c>
      <c r="C7" s="29" t="s">
        <v>389</v>
      </c>
      <c r="D7" s="29" t="s">
        <v>958</v>
      </c>
    </row>
    <row r="8" spans="1:7" ht="17.100000000000001">
      <c r="A8" s="63" t="s">
        <v>392</v>
      </c>
      <c r="B8" t="s">
        <v>393</v>
      </c>
      <c r="C8" s="29" t="s">
        <v>394</v>
      </c>
      <c r="D8" s="29" t="s">
        <v>959</v>
      </c>
    </row>
    <row r="9" spans="1:7" ht="17.100000000000001">
      <c r="A9" s="63" t="s">
        <v>396</v>
      </c>
      <c r="B9" t="s">
        <v>397</v>
      </c>
      <c r="C9" s="29" t="s">
        <v>394</v>
      </c>
      <c r="D9" s="29" t="s">
        <v>960</v>
      </c>
    </row>
    <row r="10" spans="1:7" ht="17.100000000000001">
      <c r="A10" t="s">
        <v>399</v>
      </c>
      <c r="B10" t="s">
        <v>400</v>
      </c>
      <c r="C10" s="29" t="s">
        <v>402</v>
      </c>
      <c r="D10" s="29" t="s">
        <v>961</v>
      </c>
    </row>
    <row r="11" spans="1:7" ht="33.950000000000003">
      <c r="A11" t="s">
        <v>404</v>
      </c>
      <c r="B11" t="s">
        <v>405</v>
      </c>
      <c r="C11" s="29" t="s">
        <v>406</v>
      </c>
      <c r="D11" s="29" t="s">
        <v>962</v>
      </c>
    </row>
    <row r="12" spans="1:7" ht="33.950000000000003">
      <c r="A12" t="s">
        <v>409</v>
      </c>
      <c r="B12" t="s">
        <v>410</v>
      </c>
      <c r="C12" s="29" t="s">
        <v>406</v>
      </c>
      <c r="D12" s="29" t="s">
        <v>962</v>
      </c>
    </row>
    <row r="13" spans="1:7" ht="17.100000000000001">
      <c r="A13" t="s">
        <v>411</v>
      </c>
      <c r="B13" t="s">
        <v>412</v>
      </c>
      <c r="C13" s="29" t="s">
        <v>406</v>
      </c>
      <c r="D13" s="29" t="s">
        <v>963</v>
      </c>
    </row>
    <row r="14" spans="1:7" ht="33.950000000000003">
      <c r="A14" t="s">
        <v>414</v>
      </c>
      <c r="B14" t="s">
        <v>415</v>
      </c>
      <c r="C14" s="29" t="s">
        <v>964</v>
      </c>
      <c r="D14" s="29" t="s">
        <v>965</v>
      </c>
    </row>
    <row r="15" spans="1:7" ht="33.950000000000003">
      <c r="A15" t="s">
        <v>417</v>
      </c>
      <c r="B15" t="s">
        <v>418</v>
      </c>
      <c r="C15" s="29" t="s">
        <v>964</v>
      </c>
      <c r="D15" s="29" t="s">
        <v>966</v>
      </c>
    </row>
    <row r="16" spans="1:7" ht="33.950000000000003">
      <c r="A16" t="s">
        <v>419</v>
      </c>
      <c r="B16" t="s">
        <v>420</v>
      </c>
      <c r="C16" s="29" t="s">
        <v>964</v>
      </c>
      <c r="D16" s="29" t="s">
        <v>967</v>
      </c>
    </row>
    <row r="17" spans="1:4" ht="33.950000000000003">
      <c r="A17" t="s">
        <v>421</v>
      </c>
      <c r="B17" t="s">
        <v>422</v>
      </c>
      <c r="C17" s="29" t="s">
        <v>964</v>
      </c>
      <c r="D17" s="29" t="s">
        <v>957</v>
      </c>
    </row>
    <row r="18" spans="1:4" ht="33.950000000000003">
      <c r="A18" t="s">
        <v>423</v>
      </c>
      <c r="B18" t="s">
        <v>424</v>
      </c>
      <c r="C18" s="29" t="s">
        <v>964</v>
      </c>
      <c r="D18" s="29" t="s">
        <v>957</v>
      </c>
    </row>
    <row r="19" spans="1:4" ht="33.950000000000003">
      <c r="A19" t="s">
        <v>425</v>
      </c>
      <c r="B19" t="s">
        <v>426</v>
      </c>
      <c r="C19" s="29" t="s">
        <v>964</v>
      </c>
      <c r="D19" s="29" t="s">
        <v>957</v>
      </c>
    </row>
    <row r="20" spans="1:4" ht="33.950000000000003">
      <c r="A20" t="s">
        <v>427</v>
      </c>
      <c r="B20" t="s">
        <v>428</v>
      </c>
      <c r="C20" s="29" t="s">
        <v>429</v>
      </c>
      <c r="D20" s="29" t="s">
        <v>957</v>
      </c>
    </row>
    <row r="21" spans="1:4" ht="33.950000000000003">
      <c r="A21" t="s">
        <v>430</v>
      </c>
      <c r="B21" t="s">
        <v>431</v>
      </c>
      <c r="C21" s="29" t="s">
        <v>968</v>
      </c>
      <c r="D21" s="29" t="s">
        <v>969</v>
      </c>
    </row>
    <row r="22" spans="1:4" ht="33.950000000000003">
      <c r="A22" t="s">
        <v>433</v>
      </c>
      <c r="B22" t="s">
        <v>434</v>
      </c>
      <c r="C22" s="29" t="s">
        <v>968</v>
      </c>
      <c r="D22" s="29" t="s">
        <v>957</v>
      </c>
    </row>
    <row r="23" spans="1:4" ht="33.950000000000003">
      <c r="A23" t="s">
        <v>436</v>
      </c>
      <c r="B23" t="s">
        <v>437</v>
      </c>
      <c r="C23" s="29" t="s">
        <v>970</v>
      </c>
      <c r="D23" s="29" t="s">
        <v>957</v>
      </c>
    </row>
    <row r="24" spans="1:4" ht="33.950000000000003">
      <c r="A24" t="s">
        <v>439</v>
      </c>
      <c r="B24" t="s">
        <v>440</v>
      </c>
      <c r="C24" s="29" t="s">
        <v>970</v>
      </c>
      <c r="D24" s="29" t="s">
        <v>957</v>
      </c>
    </row>
    <row r="25" spans="1:4" ht="33.950000000000003">
      <c r="A25" t="s">
        <v>441</v>
      </c>
      <c r="B25" t="s">
        <v>442</v>
      </c>
      <c r="C25" s="29" t="s">
        <v>968</v>
      </c>
      <c r="D25" s="29" t="s">
        <v>957</v>
      </c>
    </row>
    <row r="26" spans="1:4" ht="33.950000000000003">
      <c r="A26" t="s">
        <v>443</v>
      </c>
      <c r="B26" t="s">
        <v>444</v>
      </c>
      <c r="C26" s="29" t="s">
        <v>968</v>
      </c>
      <c r="D26" s="29" t="s">
        <v>971</v>
      </c>
    </row>
    <row r="27" spans="1:4" ht="33.950000000000003">
      <c r="A27" t="s">
        <v>445</v>
      </c>
      <c r="B27" t="s">
        <v>446</v>
      </c>
      <c r="C27" s="29" t="s">
        <v>968</v>
      </c>
      <c r="D27" s="29" t="s">
        <v>957</v>
      </c>
    </row>
    <row r="28" spans="1:4" ht="33.950000000000003">
      <c r="A28" t="s">
        <v>447</v>
      </c>
      <c r="B28" t="s">
        <v>448</v>
      </c>
      <c r="C28" s="29" t="s">
        <v>968</v>
      </c>
      <c r="D28" s="29" t="s">
        <v>957</v>
      </c>
    </row>
    <row r="29" spans="1:4" ht="33.950000000000003">
      <c r="A29" t="s">
        <v>449</v>
      </c>
      <c r="B29" t="s">
        <v>450</v>
      </c>
      <c r="C29" s="29" t="s">
        <v>968</v>
      </c>
      <c r="D29" s="29" t="s">
        <v>957</v>
      </c>
    </row>
    <row r="30" spans="1:4" ht="33.950000000000003">
      <c r="A30" t="s">
        <v>451</v>
      </c>
      <c r="B30" t="s">
        <v>452</v>
      </c>
      <c r="C30" s="29" t="s">
        <v>968</v>
      </c>
      <c r="D30" s="29" t="s">
        <v>957</v>
      </c>
    </row>
    <row r="31" spans="1:4" ht="33.950000000000003">
      <c r="A31" t="s">
        <v>453</v>
      </c>
      <c r="B31" t="s">
        <v>972</v>
      </c>
      <c r="C31" s="29" t="s">
        <v>968</v>
      </c>
      <c r="D31" s="29" t="s">
        <v>957</v>
      </c>
    </row>
    <row r="32" spans="1:4" ht="33.950000000000003">
      <c r="A32" t="s">
        <v>459</v>
      </c>
      <c r="B32" t="s">
        <v>973</v>
      </c>
      <c r="C32" s="29" t="s">
        <v>968</v>
      </c>
      <c r="D32" s="29" t="s">
        <v>957</v>
      </c>
    </row>
    <row r="33" spans="1:4" ht="33.950000000000003">
      <c r="A33" t="s">
        <v>465</v>
      </c>
      <c r="B33" t="s">
        <v>974</v>
      </c>
      <c r="C33" s="29" t="s">
        <v>968</v>
      </c>
      <c r="D33" s="29" t="s">
        <v>957</v>
      </c>
    </row>
    <row r="34" spans="1:4" ht="33.950000000000003">
      <c r="A34" t="s">
        <v>470</v>
      </c>
      <c r="B34" t="s">
        <v>975</v>
      </c>
      <c r="C34" s="29" t="s">
        <v>968</v>
      </c>
      <c r="D34" s="29" t="s">
        <v>957</v>
      </c>
    </row>
    <row r="35" spans="1:4" ht="33.950000000000003">
      <c r="A35" t="s">
        <v>475</v>
      </c>
      <c r="B35" t="s">
        <v>476</v>
      </c>
      <c r="C35" s="29" t="s">
        <v>976</v>
      </c>
      <c r="D35" s="29" t="s">
        <v>977</v>
      </c>
    </row>
    <row r="36" spans="1:4" ht="33.950000000000003">
      <c r="A36" t="s">
        <v>478</v>
      </c>
      <c r="B36" t="s">
        <v>479</v>
      </c>
      <c r="C36" s="29" t="s">
        <v>976</v>
      </c>
      <c r="D36" s="29" t="s">
        <v>978</v>
      </c>
    </row>
    <row r="37" spans="1:4" ht="33.950000000000003">
      <c r="A37" t="s">
        <v>480</v>
      </c>
      <c r="B37" t="s">
        <v>481</v>
      </c>
      <c r="C37" s="29" t="s">
        <v>976</v>
      </c>
      <c r="D37" s="29" t="s">
        <v>978</v>
      </c>
    </row>
    <row r="38" spans="1:4" ht="33.950000000000003">
      <c r="A38" t="s">
        <v>482</v>
      </c>
      <c r="B38" t="s">
        <v>483</v>
      </c>
      <c r="C38" s="29" t="s">
        <v>976</v>
      </c>
      <c r="D38" s="29" t="s">
        <v>978</v>
      </c>
    </row>
    <row r="39" spans="1:4" ht="33.950000000000003">
      <c r="A39" t="s">
        <v>484</v>
      </c>
      <c r="B39" t="s">
        <v>485</v>
      </c>
      <c r="C39" s="29" t="s">
        <v>976</v>
      </c>
      <c r="D39" s="29" t="s">
        <v>978</v>
      </c>
    </row>
    <row r="40" spans="1:4" ht="33.950000000000003">
      <c r="A40" t="s">
        <v>486</v>
      </c>
      <c r="B40" t="s">
        <v>487</v>
      </c>
      <c r="C40" s="29" t="s">
        <v>976</v>
      </c>
      <c r="D40" s="29" t="s">
        <v>978</v>
      </c>
    </row>
    <row r="41" spans="1:4" ht="33.950000000000003">
      <c r="A41" t="s">
        <v>488</v>
      </c>
      <c r="B41" t="s">
        <v>489</v>
      </c>
      <c r="C41" s="29" t="s">
        <v>976</v>
      </c>
      <c r="D41" s="29" t="s">
        <v>978</v>
      </c>
    </row>
    <row r="42" spans="1:4" ht="33.950000000000003">
      <c r="A42" t="s">
        <v>490</v>
      </c>
      <c r="B42" t="s">
        <v>491</v>
      </c>
      <c r="C42" s="29" t="s">
        <v>976</v>
      </c>
      <c r="D42" s="29" t="s">
        <v>978</v>
      </c>
    </row>
    <row r="43" spans="1:4" ht="33.950000000000003">
      <c r="A43" t="s">
        <v>492</v>
      </c>
      <c r="B43" t="s">
        <v>493</v>
      </c>
      <c r="C43" s="29" t="s">
        <v>976</v>
      </c>
      <c r="D43" s="29" t="s">
        <v>978</v>
      </c>
    </row>
    <row r="44" spans="1:4" ht="33.950000000000003">
      <c r="A44" t="s">
        <v>494</v>
      </c>
      <c r="B44" t="s">
        <v>495</v>
      </c>
      <c r="C44" s="29" t="s">
        <v>979</v>
      </c>
      <c r="D44" s="29" t="s">
        <v>980</v>
      </c>
    </row>
    <row r="45" spans="1:4" ht="33.950000000000003">
      <c r="A45" t="s">
        <v>497</v>
      </c>
      <c r="B45" t="s">
        <v>498</v>
      </c>
      <c r="C45" s="29" t="s">
        <v>979</v>
      </c>
      <c r="D45" s="29" t="s">
        <v>978</v>
      </c>
    </row>
    <row r="46" spans="1:4" ht="33.950000000000003">
      <c r="A46" t="s">
        <v>499</v>
      </c>
      <c r="B46" t="s">
        <v>500</v>
      </c>
      <c r="C46" s="29" t="s">
        <v>968</v>
      </c>
      <c r="D46" s="29" t="s">
        <v>957</v>
      </c>
    </row>
    <row r="47" spans="1:4" ht="33.950000000000003">
      <c r="A47" t="s">
        <v>502</v>
      </c>
      <c r="B47" t="s">
        <v>503</v>
      </c>
      <c r="C47" s="29" t="s">
        <v>968</v>
      </c>
      <c r="D47" s="29" t="s">
        <v>957</v>
      </c>
    </row>
    <row r="48" spans="1:4" ht="33.950000000000003">
      <c r="A48" t="s">
        <v>505</v>
      </c>
      <c r="B48" t="s">
        <v>506</v>
      </c>
      <c r="C48" s="29" t="s">
        <v>968</v>
      </c>
      <c r="D48" s="29" t="s">
        <v>957</v>
      </c>
    </row>
    <row r="49" spans="1:4" ht="17.100000000000001">
      <c r="A49" t="s">
        <v>508</v>
      </c>
      <c r="B49" t="s">
        <v>981</v>
      </c>
      <c r="C49" s="29" t="s">
        <v>510</v>
      </c>
      <c r="D49" s="29" t="s">
        <v>982</v>
      </c>
    </row>
    <row r="50" spans="1:4" ht="17.100000000000001">
      <c r="A50" t="s">
        <v>524</v>
      </c>
      <c r="B50" t="s">
        <v>983</v>
      </c>
      <c r="C50" s="29" t="s">
        <v>984</v>
      </c>
      <c r="D50" s="29" t="s">
        <v>978</v>
      </c>
    </row>
    <row r="51" spans="1:4" ht="17.100000000000001">
      <c r="A51" t="s">
        <v>536</v>
      </c>
      <c r="B51" t="s">
        <v>985</v>
      </c>
      <c r="C51" s="29" t="s">
        <v>77</v>
      </c>
      <c r="D51" s="29" t="s">
        <v>978</v>
      </c>
    </row>
    <row r="52" spans="1:4" ht="17.100000000000001">
      <c r="A52" t="s">
        <v>559</v>
      </c>
      <c r="B52" t="s">
        <v>986</v>
      </c>
      <c r="C52" s="29" t="s">
        <v>76</v>
      </c>
      <c r="D52" s="29" t="s">
        <v>978</v>
      </c>
    </row>
    <row r="53" spans="1:4" ht="17.100000000000001">
      <c r="A53" t="s">
        <v>574</v>
      </c>
      <c r="B53" t="s">
        <v>575</v>
      </c>
      <c r="C53" s="29" t="s">
        <v>75</v>
      </c>
      <c r="D53" s="29" t="s">
        <v>978</v>
      </c>
    </row>
    <row r="54" spans="1:4" ht="17.100000000000001">
      <c r="A54" t="s">
        <v>581</v>
      </c>
      <c r="B54" t="s">
        <v>582</v>
      </c>
      <c r="C54" s="29" t="s">
        <v>987</v>
      </c>
      <c r="D54" s="29" t="s">
        <v>978</v>
      </c>
    </row>
    <row r="55" spans="1:4" ht="17.100000000000001">
      <c r="A55" t="s">
        <v>588</v>
      </c>
      <c r="B55" t="s">
        <v>589</v>
      </c>
      <c r="C55" s="29" t="s">
        <v>988</v>
      </c>
      <c r="D55" s="29" t="s">
        <v>978</v>
      </c>
    </row>
    <row r="56" spans="1:4" ht="33.950000000000003">
      <c r="A56" t="s">
        <v>801</v>
      </c>
      <c r="B56" t="s">
        <v>802</v>
      </c>
      <c r="C56" s="29" t="s">
        <v>989</v>
      </c>
      <c r="D56" s="29" t="s">
        <v>990</v>
      </c>
    </row>
    <row r="57" spans="1:4" ht="33.950000000000003">
      <c r="A57" t="s">
        <v>806</v>
      </c>
      <c r="B57" t="s">
        <v>810</v>
      </c>
      <c r="C57" s="29" t="s">
        <v>991</v>
      </c>
      <c r="D57" s="29" t="s">
        <v>978</v>
      </c>
    </row>
    <row r="58" spans="1:4" ht="33.950000000000003">
      <c r="A58" t="s">
        <v>812</v>
      </c>
      <c r="B58" t="s">
        <v>815</v>
      </c>
      <c r="C58" s="29" t="s">
        <v>991</v>
      </c>
      <c r="D58" s="29" t="s">
        <v>978</v>
      </c>
    </row>
    <row r="59" spans="1:4" ht="17.100000000000001">
      <c r="A59" s="63" t="s">
        <v>827</v>
      </c>
      <c r="B59" t="s">
        <v>828</v>
      </c>
      <c r="C59" s="29" t="s">
        <v>829</v>
      </c>
      <c r="D59" s="29" t="s">
        <v>992</v>
      </c>
    </row>
    <row r="60" spans="1:4" ht="33.950000000000003">
      <c r="A60" t="s">
        <v>831</v>
      </c>
      <c r="B60" t="s">
        <v>832</v>
      </c>
      <c r="C60" s="29" t="s">
        <v>993</v>
      </c>
      <c r="D60" s="29" t="s">
        <v>978</v>
      </c>
    </row>
    <row r="61" spans="1:4" ht="33.950000000000003">
      <c r="A61" t="s">
        <v>835</v>
      </c>
      <c r="B61" t="s">
        <v>836</v>
      </c>
      <c r="C61" s="29" t="s">
        <v>993</v>
      </c>
      <c r="D61" s="29" t="s">
        <v>978</v>
      </c>
    </row>
    <row r="62" spans="1:4" ht="17.100000000000001">
      <c r="A62" t="s">
        <v>837</v>
      </c>
      <c r="B62" t="s">
        <v>838</v>
      </c>
      <c r="C62" s="29" t="s">
        <v>994</v>
      </c>
      <c r="D62" s="29" t="s">
        <v>978</v>
      </c>
    </row>
    <row r="63" spans="1:4" ht="33.950000000000003">
      <c r="A63" t="s">
        <v>840</v>
      </c>
      <c r="B63" t="s">
        <v>841</v>
      </c>
      <c r="C63" s="29" t="s">
        <v>995</v>
      </c>
      <c r="D63" s="29" t="s">
        <v>978</v>
      </c>
    </row>
    <row r="64" spans="1:4" ht="17.100000000000001">
      <c r="A64" t="s">
        <v>844</v>
      </c>
      <c r="B64" t="s">
        <v>845</v>
      </c>
      <c r="C64" s="29" t="s">
        <v>996</v>
      </c>
      <c r="D64" s="29" t="s">
        <v>978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E4BE2-373E-324D-8C68-B8A9528CBC1B}">
  <sheetPr>
    <tabColor theme="7"/>
  </sheetPr>
  <dimension ref="A2:AG42"/>
  <sheetViews>
    <sheetView workbookViewId="0">
      <pane xSplit="2" topLeftCell="C1" activePane="topRight" state="frozen"/>
      <selection pane="topRight" activeCell="E18" sqref="E18"/>
      <selection activeCell="I25" sqref="I25"/>
    </sheetView>
  </sheetViews>
  <sheetFormatPr defaultColWidth="11.5" defaultRowHeight="15.95"/>
  <cols>
    <col min="2" max="2" width="19.375" bestFit="1" customWidth="1"/>
    <col min="3" max="3" width="6.875" bestFit="1" customWidth="1"/>
    <col min="4" max="4" width="15" bestFit="1" customWidth="1"/>
    <col min="5" max="5" width="12" bestFit="1" customWidth="1"/>
    <col min="6" max="6" width="9.875" bestFit="1" customWidth="1"/>
    <col min="7" max="7" width="12.5" bestFit="1" customWidth="1"/>
    <col min="8" max="8" width="13.125" bestFit="1" customWidth="1"/>
    <col min="9" max="9" width="13.375" bestFit="1" customWidth="1"/>
    <col min="10" max="10" width="10.875" bestFit="1" customWidth="1"/>
    <col min="11" max="11" width="15.5" bestFit="1" customWidth="1"/>
    <col min="12" max="12" width="11.375" bestFit="1" customWidth="1"/>
    <col min="13" max="13" width="10.375" bestFit="1" customWidth="1"/>
  </cols>
  <sheetData>
    <row r="2" spans="2:15">
      <c r="B2" s="15" t="s">
        <v>997</v>
      </c>
    </row>
    <row r="4" spans="2:15">
      <c r="C4" t="s">
        <v>998</v>
      </c>
      <c r="D4" t="s">
        <v>999</v>
      </c>
      <c r="E4" t="s">
        <v>1000</v>
      </c>
      <c r="F4" t="s">
        <v>1001</v>
      </c>
      <c r="G4" t="s">
        <v>1002</v>
      </c>
      <c r="H4" t="s">
        <v>1003</v>
      </c>
      <c r="I4" t="s">
        <v>1004</v>
      </c>
      <c r="J4" t="s">
        <v>1005</v>
      </c>
      <c r="K4" t="s">
        <v>1006</v>
      </c>
      <c r="L4" t="s">
        <v>1007</v>
      </c>
    </row>
    <row r="5" spans="2:15">
      <c r="B5" s="9" t="s">
        <v>1008</v>
      </c>
      <c r="C5">
        <v>8</v>
      </c>
      <c r="D5" t="str" cm="1">
        <f t="array" aca="1" ref="D5:K5" ca="1">INDIRECT("Table"&amp;C5&amp;"[[#Headers]]")</f>
        <v>county</v>
      </c>
      <c r="E5" t="str">
        <f ca="1"/>
        <v>enabled</v>
      </c>
      <c r="F5" t="str">
        <f ca="1"/>
        <v>population</v>
      </c>
      <c r="G5" t="str">
        <f ca="1"/>
        <v>region</v>
      </c>
      <c r="H5" t="str">
        <f ca="1"/>
        <v>calibrated</v>
      </c>
      <c r="I5" t="str">
        <f ca="1"/>
        <v>last_calibrated</v>
      </c>
      <c r="J5" t="str">
        <f ca="1"/>
        <v>note</v>
      </c>
      <c r="K5" t="str">
        <f ca="1"/>
        <v>source</v>
      </c>
    </row>
    <row r="6" spans="2:15">
      <c r="B6" s="10" t="s">
        <v>110</v>
      </c>
      <c r="C6">
        <v>1</v>
      </c>
      <c r="D6" t="str" cm="1">
        <f t="array" aca="1" ref="D6:M6" ca="1">INDIRECT("Table"&amp;C6&amp;"[[#Headers]]")</f>
        <v>parameter_name</v>
      </c>
      <c r="E6" t="str">
        <f ca="1"/>
        <v>value</v>
      </c>
      <c r="F6" t="str">
        <f ca="1"/>
        <v>ci_lower</v>
      </c>
      <c r="G6" t="str">
        <f ca="1"/>
        <v>ci_upper</v>
      </c>
      <c r="H6" t="str">
        <f ca="1"/>
        <v>n</v>
      </c>
      <c r="I6" t="str">
        <f ca="1"/>
        <v>kind</v>
      </c>
      <c r="J6" t="str">
        <f ca="1"/>
        <v>category</v>
      </c>
      <c r="K6" t="str">
        <f ca="1"/>
        <v>description</v>
      </c>
      <c r="L6" t="str">
        <f ca="1"/>
        <v>note</v>
      </c>
      <c r="M6" t="str">
        <f ca="1"/>
        <v>source</v>
      </c>
    </row>
    <row r="7" spans="2:15">
      <c r="B7" s="10" t="s">
        <v>227</v>
      </c>
      <c r="C7">
        <v>3</v>
      </c>
      <c r="D7" t="str" cm="1">
        <f t="array" aca="1" ref="D7:M7" ca="1">INDIRECT("Table"&amp;C7&amp;"[[#Headers]]")</f>
        <v>parameter_name</v>
      </c>
      <c r="E7" t="str">
        <f ca="1"/>
        <v>value</v>
      </c>
      <c r="F7" t="str">
        <f ca="1"/>
        <v>ci_lower</v>
      </c>
      <c r="G7" t="str">
        <f ca="1"/>
        <v>ci_upper</v>
      </c>
      <c r="H7" t="str">
        <f ca="1"/>
        <v>n</v>
      </c>
      <c r="I7" t="str">
        <f ca="1"/>
        <v>kind</v>
      </c>
      <c r="J7" t="str">
        <f ca="1"/>
        <v>category</v>
      </c>
      <c r="K7" t="str">
        <f ca="1"/>
        <v>description</v>
      </c>
      <c r="L7" t="str">
        <f ca="1"/>
        <v>note</v>
      </c>
      <c r="M7" t="str">
        <f ca="1"/>
        <v>source</v>
      </c>
    </row>
    <row r="8" spans="2:15">
      <c r="B8" s="10" t="s">
        <v>614</v>
      </c>
      <c r="C8">
        <v>4</v>
      </c>
      <c r="D8" t="str" cm="1">
        <f t="array" aca="1" ref="D8:J8" ca="1">INDIRECT("Table"&amp;C8&amp;"[[#Headers]]")</f>
        <v>parameter_name</v>
      </c>
      <c r="E8" t="str">
        <f ca="1"/>
        <v>value</v>
      </c>
      <c r="F8" t="str">
        <f ca="1"/>
        <v>unit</v>
      </c>
      <c r="G8" t="str">
        <f ca="1"/>
        <v>category</v>
      </c>
      <c r="H8" t="str">
        <f ca="1"/>
        <v>description</v>
      </c>
      <c r="I8" t="str">
        <f ca="1"/>
        <v>note</v>
      </c>
      <c r="J8" t="str">
        <f ca="1"/>
        <v>source</v>
      </c>
    </row>
    <row r="9" spans="2:15">
      <c r="B9" s="10" t="s">
        <v>715</v>
      </c>
      <c r="C9">
        <v>5</v>
      </c>
      <c r="D9" t="str" cm="1">
        <f t="array" aca="1" ref="D9:K9" ca="1">INDIRECT("Table"&amp;C9&amp;"[[#Headers]]")</f>
        <v>cost_item</v>
      </c>
      <c r="E9" t="str">
        <f ca="1"/>
        <v>value</v>
      </c>
      <c r="F9" t="str">
        <f ca="1"/>
        <v>currency</v>
      </c>
      <c r="G9" t="str">
        <f ca="1"/>
        <v>unit</v>
      </c>
      <c r="H9" t="str">
        <f ca="1"/>
        <v>category</v>
      </c>
      <c r="I9" t="str">
        <f ca="1"/>
        <v>description</v>
      </c>
      <c r="J9" t="str">
        <f ca="1"/>
        <v>note</v>
      </c>
      <c r="K9" t="str">
        <f ca="1"/>
        <v>source</v>
      </c>
    </row>
    <row r="10" spans="2:15">
      <c r="B10" s="10" t="s">
        <v>10</v>
      </c>
      <c r="C10">
        <v>6</v>
      </c>
      <c r="D10" t="str" cm="1">
        <f t="array" aca="1" ref="D10:K10" ca="1">INDIRECT("Table"&amp;C10&amp;"[[#Headers]]")</f>
        <v>condition</v>
      </c>
      <c r="E10" t="str">
        <f ca="1"/>
        <v>mean</v>
      </c>
      <c r="F10" t="str">
        <f ca="1"/>
        <v>ci_lower</v>
      </c>
      <c r="G10" t="str">
        <f ca="1"/>
        <v>ci_upper</v>
      </c>
      <c r="H10" t="str">
        <f ca="1"/>
        <v>duration_years</v>
      </c>
      <c r="I10" t="str">
        <f ca="1"/>
        <v>description</v>
      </c>
      <c r="J10" t="str">
        <f ca="1"/>
        <v>note</v>
      </c>
      <c r="K10" t="str">
        <f ca="1"/>
        <v>source</v>
      </c>
    </row>
    <row r="11" spans="2:15">
      <c r="B11" s="10" t="s">
        <v>280</v>
      </c>
      <c r="C11">
        <v>7</v>
      </c>
      <c r="D11" t="str" cm="1">
        <f t="array" aca="1" ref="D11:I11" ca="1">INDIRECT("Table"&amp;C11&amp;"[[#Headers]]")</f>
        <v>parameter_name</v>
      </c>
      <c r="E11" t="str">
        <f ca="1"/>
        <v>index</v>
      </c>
      <c r="F11" t="str">
        <f ca="1"/>
        <v>value</v>
      </c>
      <c r="G11" t="str">
        <f ca="1"/>
        <v>description</v>
      </c>
      <c r="H11" t="str">
        <f ca="1"/>
        <v>note</v>
      </c>
      <c r="I11" t="str">
        <f ca="1"/>
        <v>source</v>
      </c>
    </row>
    <row r="12" spans="2:15">
      <c r="B12" s="9" t="s">
        <v>39</v>
      </c>
      <c r="C12">
        <v>9</v>
      </c>
      <c r="D12" t="str" cm="1">
        <f t="array" aca="1" ref="D12:M12" ca="1">INDIRECT("Table"&amp;C12&amp;"[[#Headers]]")</f>
        <v>parameter_name</v>
      </c>
      <c r="E12" t="str">
        <f ca="1"/>
        <v>county</v>
      </c>
      <c r="F12" t="str">
        <f ca="1"/>
        <v>value</v>
      </c>
      <c r="G12" t="str">
        <f ca="1"/>
        <v>ci_lower</v>
      </c>
      <c r="H12" t="str">
        <f ca="1"/>
        <v>ci_upper</v>
      </c>
      <c r="I12" t="str">
        <f ca="1"/>
        <v>n</v>
      </c>
      <c r="J12" t="str">
        <f ca="1"/>
        <v>kind</v>
      </c>
      <c r="K12" t="str">
        <f ca="1"/>
        <v>description</v>
      </c>
      <c r="L12" t="str">
        <f ca="1"/>
        <v>note</v>
      </c>
      <c r="M12" t="str">
        <f ca="1"/>
        <v>source</v>
      </c>
    </row>
    <row r="13" spans="2:15">
      <c r="B13" s="9" t="s">
        <v>8</v>
      </c>
      <c r="C13">
        <v>10</v>
      </c>
      <c r="D13" t="str" cm="1">
        <f t="array" aca="1" ref="D13:I13" ca="1">INDIRECT("Table"&amp;C13&amp;"[[#Headers]]")</f>
        <v>parameter_name</v>
      </c>
      <c r="E13" t="str">
        <f ca="1"/>
        <v>county</v>
      </c>
      <c r="F13" t="str">
        <f ca="1"/>
        <v>value</v>
      </c>
      <c r="G13" t="str">
        <f ca="1"/>
        <v>facility_level</v>
      </c>
      <c r="H13" t="str">
        <f ca="1"/>
        <v>note</v>
      </c>
      <c r="I13" t="str">
        <f ca="1"/>
        <v>source</v>
      </c>
    </row>
    <row r="14" spans="2:15">
      <c r="B14" s="9" t="s">
        <v>60</v>
      </c>
      <c r="C14">
        <v>12</v>
      </c>
      <c r="D14" t="str" cm="1">
        <f t="array" aca="1" ref="D14:J14" ca="1">INDIRECT("Table"&amp;C14&amp;"[[#Headers]]")</f>
        <v>parameter_name</v>
      </c>
      <c r="E14" t="str">
        <f ca="1"/>
        <v>county</v>
      </c>
      <c r="F14" t="str">
        <f ca="1"/>
        <v>value</v>
      </c>
      <c r="G14" t="str">
        <f ca="1"/>
        <v>index</v>
      </c>
      <c r="H14" t="str">
        <f ca="1"/>
        <v>description</v>
      </c>
      <c r="I14" t="str">
        <f ca="1"/>
        <v>note</v>
      </c>
      <c r="J14" t="str">
        <f ca="1"/>
        <v>source</v>
      </c>
    </row>
    <row r="15" spans="2:15">
      <c r="B15" s="9" t="s">
        <v>46</v>
      </c>
      <c r="C15">
        <v>13</v>
      </c>
      <c r="D15" t="str" cm="1">
        <f t="array" aca="1" ref="D15:O15" ca="1">INDIRECT("Table"&amp;C15&amp;"[[#Headers]]")</f>
        <v>parameter_name</v>
      </c>
      <c r="E15" t="str">
        <f ca="1"/>
        <v>county</v>
      </c>
      <c r="F15" t="str">
        <f ca="1"/>
        <v>index</v>
      </c>
      <c r="G15" t="str">
        <f ca="1"/>
        <v>value</v>
      </c>
      <c r="H15" t="str">
        <f ca="1"/>
        <v>ci_lower</v>
      </c>
      <c r="I15" t="str">
        <f ca="1"/>
        <v>ci_upper</v>
      </c>
      <c r="J15" t="str">
        <f ca="1"/>
        <v>n</v>
      </c>
      <c r="K15" t="str">
        <f ca="1"/>
        <v>kind</v>
      </c>
      <c r="L15" t="str">
        <f ca="1"/>
        <v>facility_level</v>
      </c>
      <c r="M15" t="str">
        <f ca="1"/>
        <v>description</v>
      </c>
      <c r="N15" t="str">
        <f ca="1"/>
        <v>note</v>
      </c>
      <c r="O15" t="str">
        <f ca="1"/>
        <v>source</v>
      </c>
    </row>
    <row r="16" spans="2:15">
      <c r="B16" s="9" t="s">
        <v>11</v>
      </c>
      <c r="C16">
        <v>14</v>
      </c>
      <c r="D16" t="str" cm="1">
        <f t="array" aca="1" ref="D16:I16" ca="1">INDIRECT("Table"&amp;C16&amp;"[[#Headers]]")</f>
        <v>target_name</v>
      </c>
      <c r="E16" t="str">
        <f ca="1"/>
        <v>county</v>
      </c>
      <c r="F16" t="str">
        <f ca="1"/>
        <v>value</v>
      </c>
      <c r="G16" t="str">
        <f ca="1"/>
        <v>description</v>
      </c>
      <c r="H16" t="str">
        <f ca="1"/>
        <v>note</v>
      </c>
      <c r="I16" t="str">
        <f ca="1"/>
        <v>source</v>
      </c>
    </row>
    <row r="17" spans="1:32">
      <c r="B17" s="9" t="s">
        <v>12</v>
      </c>
      <c r="C17">
        <v>15</v>
      </c>
      <c r="D17" t="str" cm="1">
        <f t="array" aca="1" ref="D17:J17" ca="1">INDIRECT("Table"&amp;C17&amp;"[[#Headers]]")</f>
        <v>parameter_name</v>
      </c>
      <c r="E17" t="str">
        <f ca="1"/>
        <v>county</v>
      </c>
      <c r="F17" t="str">
        <f ca="1"/>
        <v>default_value</v>
      </c>
      <c r="G17" t="str">
        <f ca="1"/>
        <v>type</v>
      </c>
      <c r="H17" t="str">
        <f ca="1"/>
        <v>description</v>
      </c>
      <c r="I17" t="str">
        <f ca="1"/>
        <v>note</v>
      </c>
      <c r="J17" t="str">
        <f ca="1"/>
        <v>source</v>
      </c>
    </row>
    <row r="18" spans="1:32">
      <c r="B18" s="9" t="s">
        <v>13</v>
      </c>
      <c r="C18">
        <v>16</v>
      </c>
      <c r="D18" t="str" cm="1">
        <f t="array" aca="1" ref="D18:I18" ca="1">INDIRECT("Table"&amp;C18&amp;"[[#Headers]]")</f>
        <v>table_name</v>
      </c>
      <c r="E18" t="str">
        <f ca="1"/>
        <v>key</v>
      </c>
      <c r="F18" t="str">
        <f ca="1"/>
        <v>value</v>
      </c>
      <c r="G18" t="str">
        <f ca="1"/>
        <v>description</v>
      </c>
      <c r="H18" t="str">
        <f ca="1"/>
        <v>note</v>
      </c>
      <c r="I18" t="str">
        <f ca="1"/>
        <v>source</v>
      </c>
    </row>
    <row r="22" spans="1:32">
      <c r="B22" s="15" t="s">
        <v>1009</v>
      </c>
    </row>
    <row r="24" spans="1:32">
      <c r="A24" t="s">
        <v>1010</v>
      </c>
      <c r="C24" t="s">
        <v>89</v>
      </c>
      <c r="D24" t="s">
        <v>90</v>
      </c>
      <c r="E24" t="s">
        <v>91</v>
      </c>
      <c r="F24" t="s">
        <v>92</v>
      </c>
      <c r="G24" t="s">
        <v>93</v>
      </c>
      <c r="H24" t="s">
        <v>94</v>
      </c>
      <c r="I24" t="s">
        <v>95</v>
      </c>
      <c r="J24" t="s">
        <v>96</v>
      </c>
      <c r="K24" t="s">
        <v>38</v>
      </c>
      <c r="L24" t="s">
        <v>103</v>
      </c>
      <c r="M24" t="s">
        <v>1011</v>
      </c>
      <c r="N24" t="s">
        <v>1012</v>
      </c>
      <c r="O24" t="s">
        <v>1013</v>
      </c>
      <c r="P24" t="s">
        <v>1014</v>
      </c>
      <c r="Q24" t="s">
        <v>104</v>
      </c>
      <c r="R24" t="s">
        <v>98</v>
      </c>
      <c r="S24" t="s">
        <v>100</v>
      </c>
      <c r="T24" t="s">
        <v>101</v>
      </c>
      <c r="U24" t="s">
        <v>1015</v>
      </c>
      <c r="V24" t="s">
        <v>1016</v>
      </c>
      <c r="W24" t="s">
        <v>1017</v>
      </c>
      <c r="X24" t="s">
        <v>1018</v>
      </c>
      <c r="Y24" t="s">
        <v>1019</v>
      </c>
      <c r="Z24" t="s">
        <v>1020</v>
      </c>
      <c r="AA24" t="s">
        <v>102</v>
      </c>
      <c r="AB24" t="s">
        <v>1021</v>
      </c>
      <c r="AC24" t="s">
        <v>1022</v>
      </c>
      <c r="AD24" t="s">
        <v>1023</v>
      </c>
      <c r="AE24" t="s">
        <v>1024</v>
      </c>
      <c r="AF24" t="s">
        <v>1025</v>
      </c>
    </row>
    <row r="25" spans="1:32">
      <c r="B25" s="9" t="s">
        <v>1008</v>
      </c>
      <c r="C25" t="str">
        <f t="shared" ref="C25:AF25" ca="1" si="0">IF(_xlfn.XLOOKUP(C$24,$D5:$M5,$D5:$M5,"",0,1)="","",1)</f>
        <v/>
      </c>
      <c r="D25" t="str">
        <f t="shared" ca="1" si="0"/>
        <v/>
      </c>
      <c r="E25" t="str">
        <f t="shared" ca="1" si="0"/>
        <v/>
      </c>
      <c r="F25" t="str">
        <f t="shared" ca="1" si="0"/>
        <v/>
      </c>
      <c r="G25" t="str">
        <f t="shared" ca="1" si="0"/>
        <v/>
      </c>
      <c r="H25" t="str">
        <f t="shared" ca="1" si="0"/>
        <v/>
      </c>
      <c r="I25" t="str">
        <f t="shared" ca="1" si="0"/>
        <v/>
      </c>
      <c r="J25" t="str">
        <f t="shared" ca="1" si="0"/>
        <v/>
      </c>
      <c r="K25">
        <f t="shared" ca="1" si="0"/>
        <v>1</v>
      </c>
      <c r="L25" t="str">
        <f t="shared" ca="1" si="0"/>
        <v/>
      </c>
      <c r="M25" t="str">
        <f t="shared" ca="1" si="0"/>
        <v/>
      </c>
      <c r="N25" t="str">
        <f t="shared" ca="1" si="0"/>
        <v/>
      </c>
      <c r="O25" t="str">
        <f t="shared" ca="1" si="0"/>
        <v/>
      </c>
      <c r="P25" t="str">
        <f t="shared" ca="1" si="0"/>
        <v/>
      </c>
      <c r="Q25" t="str">
        <f t="shared" ca="1" si="0"/>
        <v/>
      </c>
      <c r="R25">
        <f t="shared" ca="1" si="0"/>
        <v>1</v>
      </c>
      <c r="S25" t="str">
        <f t="shared" ca="1" si="0"/>
        <v/>
      </c>
      <c r="T25">
        <f t="shared" ca="1" si="0"/>
        <v>1</v>
      </c>
      <c r="U25">
        <f t="shared" ca="1" si="0"/>
        <v>1</v>
      </c>
      <c r="V25">
        <f t="shared" ca="1" si="0"/>
        <v>1</v>
      </c>
      <c r="W25">
        <f t="shared" ca="1" si="0"/>
        <v>1</v>
      </c>
      <c r="X25">
        <f t="shared" ca="1" si="0"/>
        <v>1</v>
      </c>
      <c r="Y25">
        <f t="shared" ca="1" si="0"/>
        <v>1</v>
      </c>
      <c r="Z25" t="str">
        <f t="shared" ca="1" si="0"/>
        <v/>
      </c>
      <c r="AA25" t="str">
        <f t="shared" ca="1" si="0"/>
        <v/>
      </c>
      <c r="AB25" t="str">
        <f t="shared" ca="1" si="0"/>
        <v/>
      </c>
      <c r="AC25" t="str">
        <f t="shared" ca="1" si="0"/>
        <v/>
      </c>
      <c r="AD25" t="str">
        <f t="shared" ca="1" si="0"/>
        <v/>
      </c>
      <c r="AE25" t="str">
        <f t="shared" ca="1" si="0"/>
        <v/>
      </c>
      <c r="AF25" t="str">
        <f t="shared" ca="1" si="0"/>
        <v/>
      </c>
    </row>
    <row r="26" spans="1:32">
      <c r="A26" t="s">
        <v>1026</v>
      </c>
      <c r="B26" s="10" t="s">
        <v>110</v>
      </c>
      <c r="C26">
        <f t="shared" ref="C26:AF26" ca="1" si="1">IF(_xlfn.XLOOKUP(C$24,$D6:$M6,$D6:$M6,"",0,1)="","",1)</f>
        <v>1</v>
      </c>
      <c r="D26">
        <f t="shared" ca="1" si="1"/>
        <v>1</v>
      </c>
      <c r="E26">
        <f t="shared" ca="1" si="1"/>
        <v>1</v>
      </c>
      <c r="F26">
        <f t="shared" ca="1" si="1"/>
        <v>1</v>
      </c>
      <c r="G26">
        <f t="shared" ca="1" si="1"/>
        <v>1</v>
      </c>
      <c r="H26">
        <f t="shared" ca="1" si="1"/>
        <v>1</v>
      </c>
      <c r="I26">
        <f t="shared" ca="1" si="1"/>
        <v>1</v>
      </c>
      <c r="J26">
        <f t="shared" ca="1" si="1"/>
        <v>1</v>
      </c>
      <c r="K26">
        <f t="shared" ca="1" si="1"/>
        <v>1</v>
      </c>
      <c r="L26" t="str">
        <f t="shared" ca="1" si="1"/>
        <v/>
      </c>
      <c r="M26" t="str">
        <f t="shared" ca="1" si="1"/>
        <v/>
      </c>
      <c r="N26" t="str">
        <f t="shared" ca="1" si="1"/>
        <v/>
      </c>
      <c r="O26" t="str">
        <f t="shared" ca="1" si="1"/>
        <v/>
      </c>
      <c r="P26" t="str">
        <f t="shared" ca="1" si="1"/>
        <v/>
      </c>
      <c r="Q26" t="str">
        <f t="shared" ca="1" si="1"/>
        <v/>
      </c>
      <c r="R26">
        <f t="shared" ca="1" si="1"/>
        <v>1</v>
      </c>
      <c r="S26" t="str">
        <f t="shared" ca="1" si="1"/>
        <v/>
      </c>
      <c r="T26" t="str">
        <f t="shared" ca="1" si="1"/>
        <v/>
      </c>
      <c r="U26" t="str">
        <f t="shared" ca="1" si="1"/>
        <v/>
      </c>
      <c r="V26" t="str">
        <f t="shared" ca="1" si="1"/>
        <v/>
      </c>
      <c r="W26" t="str">
        <f t="shared" ca="1" si="1"/>
        <v/>
      </c>
      <c r="X26" t="str">
        <f t="shared" ca="1" si="1"/>
        <v/>
      </c>
      <c r="Y26" t="str">
        <f t="shared" ca="1" si="1"/>
        <v/>
      </c>
      <c r="Z26" t="str">
        <f t="shared" ca="1" si="1"/>
        <v/>
      </c>
      <c r="AA26" t="str">
        <f t="shared" ca="1" si="1"/>
        <v/>
      </c>
      <c r="AB26" t="str">
        <f t="shared" ca="1" si="1"/>
        <v/>
      </c>
      <c r="AC26" t="str">
        <f t="shared" ca="1" si="1"/>
        <v/>
      </c>
      <c r="AD26" t="str">
        <f t="shared" ca="1" si="1"/>
        <v/>
      </c>
      <c r="AE26" t="str">
        <f t="shared" ca="1" si="1"/>
        <v/>
      </c>
      <c r="AF26" t="str">
        <f t="shared" ca="1" si="1"/>
        <v/>
      </c>
    </row>
    <row r="27" spans="1:32">
      <c r="A27" t="s">
        <v>1026</v>
      </c>
      <c r="B27" s="10" t="s">
        <v>227</v>
      </c>
      <c r="C27">
        <f t="shared" ref="C27:AF27" ca="1" si="2">IF(_xlfn.XLOOKUP(C$24,$D7:$M7,$D7:$M7,"",0,1)="","",1)</f>
        <v>1</v>
      </c>
      <c r="D27">
        <f t="shared" ca="1" si="2"/>
        <v>1</v>
      </c>
      <c r="E27">
        <f t="shared" ca="1" si="2"/>
        <v>1</v>
      </c>
      <c r="F27">
        <f t="shared" ca="1" si="2"/>
        <v>1</v>
      </c>
      <c r="G27">
        <f t="shared" ca="1" si="2"/>
        <v>1</v>
      </c>
      <c r="H27">
        <f t="shared" ca="1" si="2"/>
        <v>1</v>
      </c>
      <c r="I27">
        <f t="shared" ca="1" si="2"/>
        <v>1</v>
      </c>
      <c r="J27">
        <f t="shared" ca="1" si="2"/>
        <v>1</v>
      </c>
      <c r="K27">
        <f t="shared" ca="1" si="2"/>
        <v>1</v>
      </c>
      <c r="L27" t="str">
        <f t="shared" ca="1" si="2"/>
        <v/>
      </c>
      <c r="M27" t="str">
        <f t="shared" ca="1" si="2"/>
        <v/>
      </c>
      <c r="N27" t="str">
        <f t="shared" ca="1" si="2"/>
        <v/>
      </c>
      <c r="O27" t="str">
        <f t="shared" ca="1" si="2"/>
        <v/>
      </c>
      <c r="P27" t="str">
        <f t="shared" ca="1" si="2"/>
        <v/>
      </c>
      <c r="Q27" t="str">
        <f t="shared" ca="1" si="2"/>
        <v/>
      </c>
      <c r="R27">
        <f t="shared" ca="1" si="2"/>
        <v>1</v>
      </c>
      <c r="S27" t="str">
        <f t="shared" ca="1" si="2"/>
        <v/>
      </c>
      <c r="T27" t="str">
        <f t="shared" ca="1" si="2"/>
        <v/>
      </c>
      <c r="U27" t="str">
        <f t="shared" ca="1" si="2"/>
        <v/>
      </c>
      <c r="V27" t="str">
        <f t="shared" ca="1" si="2"/>
        <v/>
      </c>
      <c r="W27" t="str">
        <f t="shared" ca="1" si="2"/>
        <v/>
      </c>
      <c r="X27" t="str">
        <f t="shared" ca="1" si="2"/>
        <v/>
      </c>
      <c r="Y27" t="str">
        <f t="shared" ca="1" si="2"/>
        <v/>
      </c>
      <c r="Z27" t="str">
        <f t="shared" ca="1" si="2"/>
        <v/>
      </c>
      <c r="AA27" t="str">
        <f t="shared" ca="1" si="2"/>
        <v/>
      </c>
      <c r="AB27" t="str">
        <f t="shared" ca="1" si="2"/>
        <v/>
      </c>
      <c r="AC27" t="str">
        <f t="shared" ca="1" si="2"/>
        <v/>
      </c>
      <c r="AD27" t="str">
        <f t="shared" ca="1" si="2"/>
        <v/>
      </c>
      <c r="AE27" t="str">
        <f t="shared" ca="1" si="2"/>
        <v/>
      </c>
      <c r="AF27" t="str">
        <f t="shared" ca="1" si="2"/>
        <v/>
      </c>
    </row>
    <row r="28" spans="1:32">
      <c r="A28" t="s">
        <v>1026</v>
      </c>
      <c r="B28" s="10" t="s">
        <v>614</v>
      </c>
      <c r="C28">
        <f t="shared" ref="C28:AF28" ca="1" si="3">IF(_xlfn.XLOOKUP(C$24,$D8:$M8,$D8:$M8,"",0,1)="","",1)</f>
        <v>1</v>
      </c>
      <c r="D28">
        <f t="shared" ca="1" si="3"/>
        <v>1</v>
      </c>
      <c r="E28" t="str">
        <f t="shared" ca="1" si="3"/>
        <v/>
      </c>
      <c r="F28" t="str">
        <f t="shared" ca="1" si="3"/>
        <v/>
      </c>
      <c r="G28" t="str">
        <f t="shared" ca="1" si="3"/>
        <v/>
      </c>
      <c r="H28" t="str">
        <f t="shared" ca="1" si="3"/>
        <v/>
      </c>
      <c r="I28">
        <f t="shared" ca="1" si="3"/>
        <v>1</v>
      </c>
      <c r="J28">
        <f t="shared" ca="1" si="3"/>
        <v>1</v>
      </c>
      <c r="K28">
        <f t="shared" ca="1" si="3"/>
        <v>1</v>
      </c>
      <c r="L28">
        <f t="shared" ca="1" si="3"/>
        <v>1</v>
      </c>
      <c r="M28" t="str">
        <f t="shared" ca="1" si="3"/>
        <v/>
      </c>
      <c r="N28" t="str">
        <f t="shared" ca="1" si="3"/>
        <v/>
      </c>
      <c r="O28" t="str">
        <f t="shared" ca="1" si="3"/>
        <v/>
      </c>
      <c r="P28" t="str">
        <f t="shared" ca="1" si="3"/>
        <v/>
      </c>
      <c r="Q28" t="str">
        <f t="shared" ca="1" si="3"/>
        <v/>
      </c>
      <c r="R28">
        <f t="shared" ca="1" si="3"/>
        <v>1</v>
      </c>
      <c r="S28" t="str">
        <f t="shared" ca="1" si="3"/>
        <v/>
      </c>
      <c r="T28" t="str">
        <f t="shared" ca="1" si="3"/>
        <v/>
      </c>
      <c r="U28" t="str">
        <f t="shared" ca="1" si="3"/>
        <v/>
      </c>
      <c r="V28" t="str">
        <f t="shared" ca="1" si="3"/>
        <v/>
      </c>
      <c r="W28" t="str">
        <f t="shared" ca="1" si="3"/>
        <v/>
      </c>
      <c r="X28" t="str">
        <f t="shared" ca="1" si="3"/>
        <v/>
      </c>
      <c r="Y28" t="str">
        <f t="shared" ca="1" si="3"/>
        <v/>
      </c>
      <c r="Z28" t="str">
        <f t="shared" ca="1" si="3"/>
        <v/>
      </c>
      <c r="AA28" t="str">
        <f t="shared" ca="1" si="3"/>
        <v/>
      </c>
      <c r="AB28" t="str">
        <f t="shared" ca="1" si="3"/>
        <v/>
      </c>
      <c r="AC28" t="str">
        <f t="shared" ca="1" si="3"/>
        <v/>
      </c>
      <c r="AD28" t="str">
        <f t="shared" ca="1" si="3"/>
        <v/>
      </c>
      <c r="AE28" t="str">
        <f t="shared" ca="1" si="3"/>
        <v/>
      </c>
      <c r="AF28" t="str">
        <f t="shared" ca="1" si="3"/>
        <v/>
      </c>
    </row>
    <row r="29" spans="1:32">
      <c r="B29" s="10" t="s">
        <v>715</v>
      </c>
      <c r="C29" t="str">
        <f t="shared" ref="C29:AF29" ca="1" si="4">IF(_xlfn.XLOOKUP(C$24,$D9:$M9,$D9:$M9,"",0,1)="","",1)</f>
        <v/>
      </c>
      <c r="D29">
        <f t="shared" ca="1" si="4"/>
        <v>1</v>
      </c>
      <c r="E29" t="str">
        <f t="shared" ca="1" si="4"/>
        <v/>
      </c>
      <c r="F29" t="str">
        <f t="shared" ca="1" si="4"/>
        <v/>
      </c>
      <c r="G29" t="str">
        <f t="shared" ca="1" si="4"/>
        <v/>
      </c>
      <c r="H29" t="str">
        <f t="shared" ca="1" si="4"/>
        <v/>
      </c>
      <c r="I29">
        <f t="shared" ca="1" si="4"/>
        <v>1</v>
      </c>
      <c r="J29">
        <f t="shared" ca="1" si="4"/>
        <v>1</v>
      </c>
      <c r="K29">
        <f t="shared" ca="1" si="4"/>
        <v>1</v>
      </c>
      <c r="L29">
        <f t="shared" ca="1" si="4"/>
        <v>1</v>
      </c>
      <c r="M29">
        <f t="shared" ca="1" si="4"/>
        <v>1</v>
      </c>
      <c r="N29">
        <f t="shared" ca="1" si="4"/>
        <v>1</v>
      </c>
      <c r="O29" t="str">
        <f t="shared" ca="1" si="4"/>
        <v/>
      </c>
      <c r="P29" t="str">
        <f t="shared" ca="1" si="4"/>
        <v/>
      </c>
      <c r="Q29" t="str">
        <f t="shared" ca="1" si="4"/>
        <v/>
      </c>
      <c r="R29">
        <f t="shared" ca="1" si="4"/>
        <v>1</v>
      </c>
      <c r="S29" t="str">
        <f t="shared" ca="1" si="4"/>
        <v/>
      </c>
      <c r="T29" t="str">
        <f t="shared" ca="1" si="4"/>
        <v/>
      </c>
      <c r="U29" t="str">
        <f t="shared" ca="1" si="4"/>
        <v/>
      </c>
      <c r="V29" t="str">
        <f t="shared" ca="1" si="4"/>
        <v/>
      </c>
      <c r="W29" t="str">
        <f t="shared" ca="1" si="4"/>
        <v/>
      </c>
      <c r="X29" t="str">
        <f t="shared" ca="1" si="4"/>
        <v/>
      </c>
      <c r="Y29" t="str">
        <f t="shared" ca="1" si="4"/>
        <v/>
      </c>
      <c r="Z29" t="str">
        <f t="shared" ca="1" si="4"/>
        <v/>
      </c>
      <c r="AA29" t="str">
        <f t="shared" ca="1" si="4"/>
        <v/>
      </c>
      <c r="AB29" t="str">
        <f t="shared" ca="1" si="4"/>
        <v/>
      </c>
      <c r="AC29" t="str">
        <f t="shared" ca="1" si="4"/>
        <v/>
      </c>
      <c r="AD29" t="str">
        <f t="shared" ca="1" si="4"/>
        <v/>
      </c>
      <c r="AE29" t="str">
        <f t="shared" ca="1" si="4"/>
        <v/>
      </c>
      <c r="AF29" t="str">
        <f t="shared" ca="1" si="4"/>
        <v/>
      </c>
    </row>
    <row r="30" spans="1:32">
      <c r="B30" s="10" t="s">
        <v>10</v>
      </c>
      <c r="C30" t="str">
        <f t="shared" ref="C30:AF30" ca="1" si="5">IF(_xlfn.XLOOKUP(C$24,$D10:$M10,$D10:$M10,"",0,1)="","",1)</f>
        <v/>
      </c>
      <c r="D30" t="str">
        <f t="shared" ca="1" si="5"/>
        <v/>
      </c>
      <c r="E30">
        <f t="shared" ca="1" si="5"/>
        <v>1</v>
      </c>
      <c r="F30">
        <f t="shared" ca="1" si="5"/>
        <v>1</v>
      </c>
      <c r="G30" t="str">
        <f t="shared" ca="1" si="5"/>
        <v/>
      </c>
      <c r="H30" t="str">
        <f t="shared" ca="1" si="5"/>
        <v/>
      </c>
      <c r="I30" t="str">
        <f t="shared" ca="1" si="5"/>
        <v/>
      </c>
      <c r="J30">
        <f t="shared" ca="1" si="5"/>
        <v>1</v>
      </c>
      <c r="K30">
        <f t="shared" ca="1" si="5"/>
        <v>1</v>
      </c>
      <c r="L30" t="str">
        <f t="shared" ca="1" si="5"/>
        <v/>
      </c>
      <c r="M30" t="str">
        <f t="shared" ca="1" si="5"/>
        <v/>
      </c>
      <c r="N30" t="str">
        <f t="shared" ca="1" si="5"/>
        <v/>
      </c>
      <c r="O30">
        <f t="shared" ca="1" si="5"/>
        <v>1</v>
      </c>
      <c r="P30">
        <f t="shared" ca="1" si="5"/>
        <v>1</v>
      </c>
      <c r="Q30">
        <f t="shared" ca="1" si="5"/>
        <v>1</v>
      </c>
      <c r="R30">
        <f t="shared" ca="1" si="5"/>
        <v>1</v>
      </c>
      <c r="S30" t="str">
        <f t="shared" ca="1" si="5"/>
        <v/>
      </c>
      <c r="T30" t="str">
        <f t="shared" ca="1" si="5"/>
        <v/>
      </c>
      <c r="U30" t="str">
        <f t="shared" ca="1" si="5"/>
        <v/>
      </c>
      <c r="V30" t="str">
        <f t="shared" ca="1" si="5"/>
        <v/>
      </c>
      <c r="W30" t="str">
        <f t="shared" ca="1" si="5"/>
        <v/>
      </c>
      <c r="X30" t="str">
        <f t="shared" ca="1" si="5"/>
        <v/>
      </c>
      <c r="Y30" t="str">
        <f t="shared" ca="1" si="5"/>
        <v/>
      </c>
      <c r="Z30" t="str">
        <f t="shared" ca="1" si="5"/>
        <v/>
      </c>
      <c r="AA30" t="str">
        <f t="shared" ca="1" si="5"/>
        <v/>
      </c>
      <c r="AB30" t="str">
        <f t="shared" ca="1" si="5"/>
        <v/>
      </c>
      <c r="AC30" t="str">
        <f t="shared" ca="1" si="5"/>
        <v/>
      </c>
      <c r="AD30" t="str">
        <f t="shared" ca="1" si="5"/>
        <v/>
      </c>
      <c r="AE30" t="str">
        <f t="shared" ca="1" si="5"/>
        <v/>
      </c>
      <c r="AF30" t="str">
        <f t="shared" ca="1" si="5"/>
        <v/>
      </c>
    </row>
    <row r="31" spans="1:32">
      <c r="A31" t="s">
        <v>1026</v>
      </c>
      <c r="B31" s="10" t="s">
        <v>280</v>
      </c>
      <c r="C31">
        <f t="shared" ref="C31:AF31" ca="1" si="6">IF(_xlfn.XLOOKUP(C$24,$D11:$M11,$D11:$M11,"",0,1)="","",1)</f>
        <v>1</v>
      </c>
      <c r="D31">
        <f t="shared" ca="1" si="6"/>
        <v>1</v>
      </c>
      <c r="E31" t="str">
        <f t="shared" ca="1" si="6"/>
        <v/>
      </c>
      <c r="F31" t="str">
        <f t="shared" ca="1" si="6"/>
        <v/>
      </c>
      <c r="G31" t="str">
        <f t="shared" ca="1" si="6"/>
        <v/>
      </c>
      <c r="H31" t="str">
        <f t="shared" ca="1" si="6"/>
        <v/>
      </c>
      <c r="I31" t="str">
        <f t="shared" ca="1" si="6"/>
        <v/>
      </c>
      <c r="J31">
        <f t="shared" ca="1" si="6"/>
        <v>1</v>
      </c>
      <c r="K31">
        <f t="shared" ca="1" si="6"/>
        <v>1</v>
      </c>
      <c r="L31" t="str">
        <f t="shared" ca="1" si="6"/>
        <v/>
      </c>
      <c r="M31" t="str">
        <f t="shared" ca="1" si="6"/>
        <v/>
      </c>
      <c r="N31" t="str">
        <f t="shared" ca="1" si="6"/>
        <v/>
      </c>
      <c r="O31" t="str">
        <f t="shared" ca="1" si="6"/>
        <v/>
      </c>
      <c r="P31" t="str">
        <f t="shared" ca="1" si="6"/>
        <v/>
      </c>
      <c r="Q31" t="str">
        <f t="shared" ca="1" si="6"/>
        <v/>
      </c>
      <c r="R31">
        <f t="shared" ca="1" si="6"/>
        <v>1</v>
      </c>
      <c r="S31">
        <f t="shared" ca="1" si="6"/>
        <v>1</v>
      </c>
      <c r="T31" t="str">
        <f t="shared" ca="1" si="6"/>
        <v/>
      </c>
      <c r="U31" t="str">
        <f t="shared" ca="1" si="6"/>
        <v/>
      </c>
      <c r="V31" t="str">
        <f t="shared" ca="1" si="6"/>
        <v/>
      </c>
      <c r="W31" t="str">
        <f t="shared" ca="1" si="6"/>
        <v/>
      </c>
      <c r="X31" t="str">
        <f t="shared" ca="1" si="6"/>
        <v/>
      </c>
      <c r="Y31" t="str">
        <f t="shared" ca="1" si="6"/>
        <v/>
      </c>
      <c r="Z31" t="str">
        <f t="shared" ca="1" si="6"/>
        <v/>
      </c>
      <c r="AA31" t="str">
        <f t="shared" ca="1" si="6"/>
        <v/>
      </c>
      <c r="AB31" t="str">
        <f t="shared" ca="1" si="6"/>
        <v/>
      </c>
      <c r="AC31" t="str">
        <f t="shared" ca="1" si="6"/>
        <v/>
      </c>
      <c r="AD31" t="str">
        <f t="shared" ca="1" si="6"/>
        <v/>
      </c>
      <c r="AE31" t="str">
        <f t="shared" ca="1" si="6"/>
        <v/>
      </c>
      <c r="AF31" t="str">
        <f t="shared" ca="1" si="6"/>
        <v/>
      </c>
    </row>
    <row r="32" spans="1:32">
      <c r="A32" t="s">
        <v>1026</v>
      </c>
      <c r="B32" s="9" t="s">
        <v>39</v>
      </c>
      <c r="C32">
        <f t="shared" ref="C32:AF32" ca="1" si="7">IF(_xlfn.XLOOKUP(C$24,$D12:$M12,$D12:$M12,"",0,1)="","",1)</f>
        <v>1</v>
      </c>
      <c r="D32">
        <f t="shared" ca="1" si="7"/>
        <v>1</v>
      </c>
      <c r="E32">
        <f t="shared" ca="1" si="7"/>
        <v>1</v>
      </c>
      <c r="F32">
        <f t="shared" ca="1" si="7"/>
        <v>1</v>
      </c>
      <c r="G32">
        <f t="shared" ca="1" si="7"/>
        <v>1</v>
      </c>
      <c r="H32">
        <f t="shared" ca="1" si="7"/>
        <v>1</v>
      </c>
      <c r="I32" t="str">
        <f t="shared" ca="1" si="7"/>
        <v/>
      </c>
      <c r="J32">
        <f t="shared" ca="1" si="7"/>
        <v>1</v>
      </c>
      <c r="K32">
        <f t="shared" ca="1" si="7"/>
        <v>1</v>
      </c>
      <c r="L32" t="str">
        <f t="shared" ca="1" si="7"/>
        <v/>
      </c>
      <c r="M32" t="str">
        <f t="shared" ca="1" si="7"/>
        <v/>
      </c>
      <c r="N32" t="str">
        <f t="shared" ca="1" si="7"/>
        <v/>
      </c>
      <c r="O32" t="str">
        <f t="shared" ca="1" si="7"/>
        <v/>
      </c>
      <c r="P32" t="str">
        <f t="shared" ca="1" si="7"/>
        <v/>
      </c>
      <c r="Q32" t="str">
        <f t="shared" ca="1" si="7"/>
        <v/>
      </c>
      <c r="R32">
        <f t="shared" ca="1" si="7"/>
        <v>1</v>
      </c>
      <c r="S32" t="str">
        <f t="shared" ca="1" si="7"/>
        <v/>
      </c>
      <c r="T32">
        <f t="shared" ca="1" si="7"/>
        <v>1</v>
      </c>
      <c r="U32" t="str">
        <f t="shared" ca="1" si="7"/>
        <v/>
      </c>
      <c r="V32" t="str">
        <f t="shared" ca="1" si="7"/>
        <v/>
      </c>
      <c r="W32" t="str">
        <f t="shared" ca="1" si="7"/>
        <v/>
      </c>
      <c r="X32" t="str">
        <f t="shared" ca="1" si="7"/>
        <v/>
      </c>
      <c r="Y32" t="str">
        <f t="shared" ca="1" si="7"/>
        <v/>
      </c>
      <c r="Z32" t="str">
        <f t="shared" ca="1" si="7"/>
        <v/>
      </c>
      <c r="AA32" t="str">
        <f t="shared" ca="1" si="7"/>
        <v/>
      </c>
      <c r="AB32" t="str">
        <f t="shared" ca="1" si="7"/>
        <v/>
      </c>
      <c r="AC32" t="str">
        <f t="shared" ca="1" si="7"/>
        <v/>
      </c>
      <c r="AD32" t="str">
        <f t="shared" ca="1" si="7"/>
        <v/>
      </c>
      <c r="AE32" t="str">
        <f t="shared" ca="1" si="7"/>
        <v/>
      </c>
      <c r="AF32" t="str">
        <f t="shared" ca="1" si="7"/>
        <v/>
      </c>
    </row>
    <row r="33" spans="1:33">
      <c r="A33" t="s">
        <v>1026</v>
      </c>
      <c r="B33" s="12" t="s">
        <v>8</v>
      </c>
      <c r="C33" s="11">
        <v>1</v>
      </c>
      <c r="D33" s="11">
        <v>1</v>
      </c>
      <c r="E33" t="str">
        <f t="shared" ref="E33:AF33" ca="1" si="8">IF(_xlfn.XLOOKUP(E$24,$D13:$M13,$D13:$M13,"",0,1)="","",1)</f>
        <v/>
      </c>
      <c r="F33" t="str">
        <f t="shared" ca="1" si="8"/>
        <v/>
      </c>
      <c r="G33" t="str">
        <f t="shared" ca="1" si="8"/>
        <v/>
      </c>
      <c r="H33" t="str">
        <f t="shared" ca="1" si="8"/>
        <v/>
      </c>
      <c r="I33" t="str">
        <f t="shared" ca="1" si="8"/>
        <v/>
      </c>
      <c r="J33" t="str">
        <f t="shared" ca="1" si="8"/>
        <v/>
      </c>
      <c r="K33">
        <f t="shared" ca="1" si="8"/>
        <v>1</v>
      </c>
      <c r="L33" t="str">
        <f t="shared" ca="1" si="8"/>
        <v/>
      </c>
      <c r="M33" t="str">
        <f t="shared" ca="1" si="8"/>
        <v/>
      </c>
      <c r="N33" t="str">
        <f t="shared" ca="1" si="8"/>
        <v/>
      </c>
      <c r="O33" t="str">
        <f t="shared" ca="1" si="8"/>
        <v/>
      </c>
      <c r="P33" t="str">
        <f t="shared" ca="1" si="8"/>
        <v/>
      </c>
      <c r="Q33" t="str">
        <f t="shared" ca="1" si="8"/>
        <v/>
      </c>
      <c r="R33">
        <f t="shared" ca="1" si="8"/>
        <v>1</v>
      </c>
      <c r="S33" t="str">
        <f t="shared" ca="1" si="8"/>
        <v/>
      </c>
      <c r="T33">
        <f t="shared" ca="1" si="8"/>
        <v>1</v>
      </c>
      <c r="U33" t="str">
        <f t="shared" ca="1" si="8"/>
        <v/>
      </c>
      <c r="V33" t="str">
        <f t="shared" ca="1" si="8"/>
        <v/>
      </c>
      <c r="W33" t="str">
        <f t="shared" ca="1" si="8"/>
        <v/>
      </c>
      <c r="X33" t="str">
        <f t="shared" ca="1" si="8"/>
        <v/>
      </c>
      <c r="Y33" t="str">
        <f t="shared" ca="1" si="8"/>
        <v/>
      </c>
      <c r="Z33" t="str">
        <f t="shared" ca="1" si="8"/>
        <v/>
      </c>
      <c r="AA33">
        <f t="shared" ca="1" si="8"/>
        <v>1</v>
      </c>
      <c r="AB33" t="str">
        <f t="shared" ca="1" si="8"/>
        <v/>
      </c>
      <c r="AC33" t="str">
        <f t="shared" ca="1" si="8"/>
        <v/>
      </c>
      <c r="AD33" t="str">
        <f t="shared" ca="1" si="8"/>
        <v/>
      </c>
      <c r="AE33" t="str">
        <f t="shared" ca="1" si="8"/>
        <v/>
      </c>
      <c r="AF33" t="str">
        <f t="shared" ca="1" si="8"/>
        <v/>
      </c>
    </row>
    <row r="34" spans="1:33" s="11" customFormat="1">
      <c r="B34" s="9" t="s">
        <v>60</v>
      </c>
      <c r="C34" s="13">
        <f t="shared" ref="C34:D38" ca="1" si="9">IF(_xlfn.XLOOKUP(C$24,$D14:$M14,$D14:$M14,"",0,1)="","",1)</f>
        <v>1</v>
      </c>
      <c r="D34" s="13">
        <f t="shared" ca="1" si="9"/>
        <v>1</v>
      </c>
      <c r="E34" s="13" t="str">
        <f t="shared" ref="E34:AF34" ca="1" si="10">IF(_xlfn.XLOOKUP(E$24,$D14:$M14,$D14:$M14,"",0,1)="","",1)</f>
        <v/>
      </c>
      <c r="F34" s="13" t="str">
        <f t="shared" ca="1" si="10"/>
        <v/>
      </c>
      <c r="G34" s="13" t="str">
        <f t="shared" ca="1" si="10"/>
        <v/>
      </c>
      <c r="H34" s="13" t="str">
        <f t="shared" ca="1" si="10"/>
        <v/>
      </c>
      <c r="I34" s="13" t="str">
        <f t="shared" ca="1" si="10"/>
        <v/>
      </c>
      <c r="J34" s="13">
        <f t="shared" ca="1" si="10"/>
        <v>1</v>
      </c>
      <c r="K34" s="13">
        <f t="shared" ca="1" si="10"/>
        <v>1</v>
      </c>
      <c r="L34" s="11" t="str">
        <f t="shared" ca="1" si="10"/>
        <v/>
      </c>
      <c r="M34" s="11" t="str">
        <f t="shared" ca="1" si="10"/>
        <v/>
      </c>
      <c r="N34" s="11" t="str">
        <f t="shared" ca="1" si="10"/>
        <v/>
      </c>
      <c r="O34" s="11" t="str">
        <f t="shared" ca="1" si="10"/>
        <v/>
      </c>
      <c r="P34" s="11" t="str">
        <f t="shared" ca="1" si="10"/>
        <v/>
      </c>
      <c r="Q34" s="11" t="str">
        <f t="shared" ca="1" si="10"/>
        <v/>
      </c>
      <c r="R34" s="11">
        <f t="shared" ca="1" si="10"/>
        <v>1</v>
      </c>
      <c r="S34" s="13">
        <f t="shared" ca="1" si="10"/>
        <v>1</v>
      </c>
      <c r="T34" s="13">
        <f t="shared" ca="1" si="10"/>
        <v>1</v>
      </c>
      <c r="U34" s="11" t="str">
        <f t="shared" ca="1" si="10"/>
        <v/>
      </c>
      <c r="V34" s="11" t="str">
        <f t="shared" ca="1" si="10"/>
        <v/>
      </c>
      <c r="W34" s="11" t="str">
        <f t="shared" ca="1" si="10"/>
        <v/>
      </c>
      <c r="X34" s="11" t="str">
        <f t="shared" ca="1" si="10"/>
        <v/>
      </c>
      <c r="Y34" s="11" t="str">
        <f t="shared" ca="1" si="10"/>
        <v/>
      </c>
      <c r="Z34" s="11" t="str">
        <f t="shared" ca="1" si="10"/>
        <v/>
      </c>
      <c r="AA34" s="11" t="str">
        <f t="shared" ca="1" si="10"/>
        <v/>
      </c>
      <c r="AB34" s="11" t="str">
        <f t="shared" ca="1" si="10"/>
        <v/>
      </c>
      <c r="AC34" s="11" t="str">
        <f t="shared" ca="1" si="10"/>
        <v/>
      </c>
      <c r="AD34" s="11" t="str">
        <f t="shared" ca="1" si="10"/>
        <v/>
      </c>
      <c r="AE34" s="11" t="str">
        <f t="shared" ca="1" si="10"/>
        <v/>
      </c>
      <c r="AF34" s="11" t="str">
        <f t="shared" ca="1" si="10"/>
        <v/>
      </c>
      <c r="AG34"/>
    </row>
    <row r="35" spans="1:33">
      <c r="A35" t="s">
        <v>1026</v>
      </c>
      <c r="B35" s="9" t="s">
        <v>46</v>
      </c>
      <c r="C35">
        <f t="shared" ca="1" si="9"/>
        <v>1</v>
      </c>
      <c r="D35">
        <f t="shared" ca="1" si="9"/>
        <v>1</v>
      </c>
      <c r="E35">
        <f t="shared" ref="E35:AF35" ca="1" si="11">IF(_xlfn.XLOOKUP(E$24,$D15:$M15,$D15:$M15,"",0,1)="","",1)</f>
        <v>1</v>
      </c>
      <c r="F35">
        <f t="shared" ca="1" si="11"/>
        <v>1</v>
      </c>
      <c r="G35">
        <f t="shared" ca="1" si="11"/>
        <v>1</v>
      </c>
      <c r="H35">
        <f t="shared" ca="1" si="11"/>
        <v>1</v>
      </c>
      <c r="I35" t="str">
        <f t="shared" ca="1" si="11"/>
        <v/>
      </c>
      <c r="J35">
        <f t="shared" ca="1" si="11"/>
        <v>1</v>
      </c>
      <c r="K35" t="str">
        <f t="shared" ca="1" si="11"/>
        <v/>
      </c>
      <c r="L35" t="str">
        <f t="shared" ca="1" si="11"/>
        <v/>
      </c>
      <c r="M35" t="str">
        <f t="shared" ca="1" si="11"/>
        <v/>
      </c>
      <c r="N35" t="str">
        <f t="shared" ca="1" si="11"/>
        <v/>
      </c>
      <c r="O35" t="str">
        <f t="shared" ca="1" si="11"/>
        <v/>
      </c>
      <c r="P35" t="str">
        <f t="shared" ca="1" si="11"/>
        <v/>
      </c>
      <c r="Q35" t="str">
        <f t="shared" ca="1" si="11"/>
        <v/>
      </c>
      <c r="R35" t="str">
        <f t="shared" ca="1" si="11"/>
        <v/>
      </c>
      <c r="S35">
        <f t="shared" ca="1" si="11"/>
        <v>1</v>
      </c>
      <c r="T35">
        <f t="shared" ca="1" si="11"/>
        <v>1</v>
      </c>
      <c r="U35" t="str">
        <f t="shared" ca="1" si="11"/>
        <v/>
      </c>
      <c r="V35" t="str">
        <f t="shared" ca="1" si="11"/>
        <v/>
      </c>
      <c r="W35" t="str">
        <f t="shared" ca="1" si="11"/>
        <v/>
      </c>
      <c r="X35" t="str">
        <f t="shared" ca="1" si="11"/>
        <v/>
      </c>
      <c r="Y35" t="str">
        <f t="shared" ca="1" si="11"/>
        <v/>
      </c>
      <c r="Z35" t="str">
        <f t="shared" ca="1" si="11"/>
        <v/>
      </c>
      <c r="AA35">
        <f t="shared" ca="1" si="11"/>
        <v>1</v>
      </c>
      <c r="AB35" t="str">
        <f t="shared" ca="1" si="11"/>
        <v/>
      </c>
      <c r="AC35" t="str">
        <f t="shared" ca="1" si="11"/>
        <v/>
      </c>
      <c r="AD35" t="str">
        <f t="shared" ca="1" si="11"/>
        <v/>
      </c>
      <c r="AE35" t="str">
        <f t="shared" ca="1" si="11"/>
        <v/>
      </c>
      <c r="AF35" t="str">
        <f t="shared" ca="1" si="11"/>
        <v/>
      </c>
    </row>
    <row r="36" spans="1:33">
      <c r="B36" s="9" t="s">
        <v>11</v>
      </c>
      <c r="C36" t="str">
        <f t="shared" ca="1" si="9"/>
        <v/>
      </c>
      <c r="D36">
        <f t="shared" ca="1" si="9"/>
        <v>1</v>
      </c>
      <c r="E36" t="str">
        <f t="shared" ref="E36:AF36" ca="1" si="12">IF(_xlfn.XLOOKUP(E$24,$D16:$M16,$D16:$M16,"",0,1)="","",1)</f>
        <v/>
      </c>
      <c r="F36" t="str">
        <f t="shared" ca="1" si="12"/>
        <v/>
      </c>
      <c r="G36" t="str">
        <f t="shared" ca="1" si="12"/>
        <v/>
      </c>
      <c r="H36" t="str">
        <f t="shared" ca="1" si="12"/>
        <v/>
      </c>
      <c r="I36" t="str">
        <f t="shared" ca="1" si="12"/>
        <v/>
      </c>
      <c r="J36">
        <f t="shared" ca="1" si="12"/>
        <v>1</v>
      </c>
      <c r="K36">
        <f t="shared" ca="1" si="12"/>
        <v>1</v>
      </c>
      <c r="L36" t="str">
        <f t="shared" ca="1" si="12"/>
        <v/>
      </c>
      <c r="M36" t="str">
        <f t="shared" ca="1" si="12"/>
        <v/>
      </c>
      <c r="N36" t="str">
        <f t="shared" ca="1" si="12"/>
        <v/>
      </c>
      <c r="O36" t="str">
        <f t="shared" ca="1" si="12"/>
        <v/>
      </c>
      <c r="P36" t="str">
        <f t="shared" ca="1" si="12"/>
        <v/>
      </c>
      <c r="Q36" t="str">
        <f t="shared" ca="1" si="12"/>
        <v/>
      </c>
      <c r="R36">
        <f t="shared" ca="1" si="12"/>
        <v>1</v>
      </c>
      <c r="S36" t="str">
        <f t="shared" ca="1" si="12"/>
        <v/>
      </c>
      <c r="T36">
        <f t="shared" ca="1" si="12"/>
        <v>1</v>
      </c>
      <c r="U36" t="str">
        <f t="shared" ca="1" si="12"/>
        <v/>
      </c>
      <c r="V36" t="str">
        <f t="shared" ca="1" si="12"/>
        <v/>
      </c>
      <c r="W36" t="str">
        <f t="shared" ca="1" si="12"/>
        <v/>
      </c>
      <c r="X36" t="str">
        <f t="shared" ca="1" si="12"/>
        <v/>
      </c>
      <c r="Y36" t="str">
        <f t="shared" ca="1" si="12"/>
        <v/>
      </c>
      <c r="Z36" t="str">
        <f t="shared" ca="1" si="12"/>
        <v/>
      </c>
      <c r="AA36" t="str">
        <f t="shared" ca="1" si="12"/>
        <v/>
      </c>
      <c r="AB36">
        <f t="shared" ca="1" si="12"/>
        <v>1</v>
      </c>
      <c r="AC36" t="str">
        <f t="shared" ca="1" si="12"/>
        <v/>
      </c>
      <c r="AD36" t="str">
        <f t="shared" ca="1" si="12"/>
        <v/>
      </c>
      <c r="AE36" t="str">
        <f t="shared" ca="1" si="12"/>
        <v/>
      </c>
      <c r="AF36" t="str">
        <f t="shared" ca="1" si="12"/>
        <v/>
      </c>
    </row>
    <row r="37" spans="1:33">
      <c r="B37" s="9" t="s">
        <v>12</v>
      </c>
      <c r="C37">
        <f t="shared" ca="1" si="9"/>
        <v>1</v>
      </c>
      <c r="D37" t="str">
        <f t="shared" ca="1" si="9"/>
        <v/>
      </c>
      <c r="E37" t="str">
        <f t="shared" ref="E37:AF37" ca="1" si="13">IF(_xlfn.XLOOKUP(E$24,$D17:$M17,$D17:$M17,"",0,1)="","",1)</f>
        <v/>
      </c>
      <c r="F37" t="str">
        <f t="shared" ca="1" si="13"/>
        <v/>
      </c>
      <c r="G37" t="str">
        <f t="shared" ca="1" si="13"/>
        <v/>
      </c>
      <c r="H37" t="str">
        <f t="shared" ca="1" si="13"/>
        <v/>
      </c>
      <c r="I37" t="str">
        <f t="shared" ca="1" si="13"/>
        <v/>
      </c>
      <c r="J37">
        <f t="shared" ca="1" si="13"/>
        <v>1</v>
      </c>
      <c r="K37">
        <f t="shared" ca="1" si="13"/>
        <v>1</v>
      </c>
      <c r="L37" t="str">
        <f t="shared" ca="1" si="13"/>
        <v/>
      </c>
      <c r="M37" t="str">
        <f t="shared" ca="1" si="13"/>
        <v/>
      </c>
      <c r="N37" t="str">
        <f t="shared" ca="1" si="13"/>
        <v/>
      </c>
      <c r="O37" t="str">
        <f t="shared" ca="1" si="13"/>
        <v/>
      </c>
      <c r="P37" t="str">
        <f t="shared" ca="1" si="13"/>
        <v/>
      </c>
      <c r="Q37" t="str">
        <f t="shared" ca="1" si="13"/>
        <v/>
      </c>
      <c r="R37">
        <f t="shared" ca="1" si="13"/>
        <v>1</v>
      </c>
      <c r="S37" t="str">
        <f t="shared" ca="1" si="13"/>
        <v/>
      </c>
      <c r="T37">
        <f t="shared" ca="1" si="13"/>
        <v>1</v>
      </c>
      <c r="U37" t="str">
        <f t="shared" ca="1" si="13"/>
        <v/>
      </c>
      <c r="V37" t="str">
        <f t="shared" ca="1" si="13"/>
        <v/>
      </c>
      <c r="W37" t="str">
        <f t="shared" ca="1" si="13"/>
        <v/>
      </c>
      <c r="X37" t="str">
        <f t="shared" ca="1" si="13"/>
        <v/>
      </c>
      <c r="Y37" t="str">
        <f t="shared" ca="1" si="13"/>
        <v/>
      </c>
      <c r="Z37" t="str">
        <f t="shared" ca="1" si="13"/>
        <v/>
      </c>
      <c r="AA37" t="str">
        <f t="shared" ca="1" si="13"/>
        <v/>
      </c>
      <c r="AB37" t="str">
        <f t="shared" ca="1" si="13"/>
        <v/>
      </c>
      <c r="AC37">
        <f t="shared" ca="1" si="13"/>
        <v>1</v>
      </c>
      <c r="AD37">
        <f t="shared" ca="1" si="13"/>
        <v>1</v>
      </c>
      <c r="AE37" t="str">
        <f t="shared" ca="1" si="13"/>
        <v/>
      </c>
      <c r="AF37" t="str">
        <f t="shared" ca="1" si="13"/>
        <v/>
      </c>
    </row>
    <row r="38" spans="1:33">
      <c r="B38" s="9" t="s">
        <v>13</v>
      </c>
      <c r="C38" t="str">
        <f t="shared" ca="1" si="9"/>
        <v/>
      </c>
      <c r="D38">
        <f t="shared" ca="1" si="9"/>
        <v>1</v>
      </c>
      <c r="E38" t="str">
        <f t="shared" ref="E38:AF38" ca="1" si="14">IF(_xlfn.XLOOKUP(E$24,$D18:$M18,$D18:$M18,"",0,1)="","",1)</f>
        <v/>
      </c>
      <c r="F38" t="str">
        <f t="shared" ca="1" si="14"/>
        <v/>
      </c>
      <c r="G38" t="str">
        <f t="shared" ca="1" si="14"/>
        <v/>
      </c>
      <c r="H38" t="str">
        <f t="shared" ca="1" si="14"/>
        <v/>
      </c>
      <c r="I38" t="str">
        <f t="shared" ca="1" si="14"/>
        <v/>
      </c>
      <c r="J38">
        <f t="shared" ca="1" si="14"/>
        <v>1</v>
      </c>
      <c r="K38">
        <f t="shared" ca="1" si="14"/>
        <v>1</v>
      </c>
      <c r="L38" t="str">
        <f t="shared" ca="1" si="14"/>
        <v/>
      </c>
      <c r="M38" t="str">
        <f t="shared" ca="1" si="14"/>
        <v/>
      </c>
      <c r="N38" t="str">
        <f t="shared" ca="1" si="14"/>
        <v/>
      </c>
      <c r="O38" t="str">
        <f t="shared" ca="1" si="14"/>
        <v/>
      </c>
      <c r="P38" t="str">
        <f t="shared" ca="1" si="14"/>
        <v/>
      </c>
      <c r="Q38" t="str">
        <f t="shared" ca="1" si="14"/>
        <v/>
      </c>
      <c r="R38">
        <f t="shared" ca="1" si="14"/>
        <v>1</v>
      </c>
      <c r="S38" t="str">
        <f t="shared" ca="1" si="14"/>
        <v/>
      </c>
      <c r="T38" t="str">
        <f t="shared" ca="1" si="14"/>
        <v/>
      </c>
      <c r="U38" t="str">
        <f t="shared" ca="1" si="14"/>
        <v/>
      </c>
      <c r="V38" t="str">
        <f t="shared" ca="1" si="14"/>
        <v/>
      </c>
      <c r="W38" t="str">
        <f t="shared" ca="1" si="14"/>
        <v/>
      </c>
      <c r="X38" t="str">
        <f t="shared" ca="1" si="14"/>
        <v/>
      </c>
      <c r="Y38" t="str">
        <f t="shared" ca="1" si="14"/>
        <v/>
      </c>
      <c r="Z38" t="str">
        <f t="shared" ca="1" si="14"/>
        <v/>
      </c>
      <c r="AA38" t="str">
        <f t="shared" ca="1" si="14"/>
        <v/>
      </c>
      <c r="AB38" t="str">
        <f t="shared" ca="1" si="14"/>
        <v/>
      </c>
      <c r="AC38" t="str">
        <f t="shared" ca="1" si="14"/>
        <v/>
      </c>
      <c r="AD38" t="str">
        <f t="shared" ca="1" si="14"/>
        <v/>
      </c>
      <c r="AE38">
        <f t="shared" ca="1" si="14"/>
        <v>1</v>
      </c>
      <c r="AF38">
        <f t="shared" ca="1" si="14"/>
        <v>1</v>
      </c>
    </row>
    <row r="42" spans="1:33">
      <c r="B42" s="15" t="s">
        <v>1027</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B811-2239-FD48-B047-E485EDB17477}">
  <dimension ref="A1:D15"/>
  <sheetViews>
    <sheetView showGridLines="0" zoomScale="130" zoomScaleNormal="130" workbookViewId="0">
      <selection activeCell="D2" sqref="D2"/>
    </sheetView>
  </sheetViews>
  <sheetFormatPr defaultColWidth="11" defaultRowHeight="15.95"/>
  <cols>
    <col min="2" max="2" width="19.375" bestFit="1" customWidth="1"/>
    <col min="4" max="4" width="37" bestFit="1" customWidth="1"/>
  </cols>
  <sheetData>
    <row r="1" spans="1:4">
      <c r="A1" s="1" t="s">
        <v>1028</v>
      </c>
      <c r="B1" s="1" t="s">
        <v>1029</v>
      </c>
      <c r="C1" s="1" t="s">
        <v>1030</v>
      </c>
      <c r="D1" s="1" t="s">
        <v>1031</v>
      </c>
    </row>
    <row r="2" spans="1:4">
      <c r="A2" s="2">
        <v>1</v>
      </c>
      <c r="B2" s="7" t="s">
        <v>1008</v>
      </c>
      <c r="C2" s="2">
        <v>4</v>
      </c>
      <c r="D2" s="2" t="s">
        <v>1032</v>
      </c>
    </row>
    <row r="3" spans="1:4">
      <c r="A3" s="2">
        <v>2</v>
      </c>
      <c r="B3" s="8" t="s">
        <v>110</v>
      </c>
      <c r="C3" s="2">
        <v>41</v>
      </c>
      <c r="D3" s="2" t="s">
        <v>1033</v>
      </c>
    </row>
    <row r="4" spans="1:4">
      <c r="A4" s="2">
        <v>3</v>
      </c>
      <c r="B4" s="8" t="s">
        <v>227</v>
      </c>
      <c r="C4" s="2">
        <v>9</v>
      </c>
      <c r="D4" s="2" t="s">
        <v>1034</v>
      </c>
    </row>
    <row r="5" spans="1:4">
      <c r="A5" s="2">
        <v>4</v>
      </c>
      <c r="B5" s="8" t="s">
        <v>614</v>
      </c>
      <c r="C5" s="2">
        <v>39</v>
      </c>
      <c r="D5" s="2" t="s">
        <v>1035</v>
      </c>
    </row>
    <row r="6" spans="1:4">
      <c r="A6" s="2">
        <v>5</v>
      </c>
      <c r="B6" s="8" t="s">
        <v>715</v>
      </c>
      <c r="C6" s="2">
        <v>26</v>
      </c>
      <c r="D6" s="2" t="s">
        <v>1036</v>
      </c>
    </row>
    <row r="7" spans="1:4">
      <c r="A7" s="2">
        <v>6</v>
      </c>
      <c r="B7" s="8" t="s">
        <v>10</v>
      </c>
      <c r="C7" s="2">
        <v>11</v>
      </c>
      <c r="D7" s="2" t="s">
        <v>1037</v>
      </c>
    </row>
    <row r="8" spans="1:4">
      <c r="A8" s="2">
        <v>7</v>
      </c>
      <c r="B8" s="8" t="s">
        <v>280</v>
      </c>
      <c r="C8" s="2">
        <v>100</v>
      </c>
      <c r="D8" s="2" t="s">
        <v>1038</v>
      </c>
    </row>
    <row r="9" spans="1:4">
      <c r="A9" s="2">
        <v>8</v>
      </c>
      <c r="B9" s="7" t="s">
        <v>39</v>
      </c>
      <c r="C9" s="2">
        <v>36</v>
      </c>
      <c r="D9" s="2" t="s">
        <v>1039</v>
      </c>
    </row>
    <row r="10" spans="1:4">
      <c r="A10" s="2">
        <v>9</v>
      </c>
      <c r="B10" s="7" t="s">
        <v>8</v>
      </c>
      <c r="C10" s="2">
        <v>12</v>
      </c>
      <c r="D10" s="2" t="s">
        <v>1040</v>
      </c>
    </row>
    <row r="11" spans="1:4">
      <c r="A11" s="2">
        <v>10</v>
      </c>
      <c r="B11" s="7" t="s">
        <v>60</v>
      </c>
      <c r="C11" s="2">
        <v>176</v>
      </c>
      <c r="D11" s="2" t="s">
        <v>1041</v>
      </c>
    </row>
    <row r="12" spans="1:4">
      <c r="A12" s="2">
        <v>11</v>
      </c>
      <c r="B12" s="7" t="s">
        <v>46</v>
      </c>
      <c r="C12" s="2">
        <v>76</v>
      </c>
      <c r="D12" s="2" t="s">
        <v>1042</v>
      </c>
    </row>
    <row r="13" spans="1:4">
      <c r="A13" s="2">
        <v>12</v>
      </c>
      <c r="B13" s="7" t="s">
        <v>11</v>
      </c>
      <c r="C13" s="2">
        <v>36</v>
      </c>
      <c r="D13" s="2" t="s">
        <v>1043</v>
      </c>
    </row>
    <row r="14" spans="1:4">
      <c r="A14" s="2">
        <v>13</v>
      </c>
      <c r="B14" s="7" t="s">
        <v>12</v>
      </c>
      <c r="C14" s="2">
        <v>9</v>
      </c>
      <c r="D14" s="2" t="s">
        <v>1044</v>
      </c>
    </row>
    <row r="15" spans="1:4">
      <c r="A15" s="2">
        <v>14</v>
      </c>
      <c r="B15" s="7" t="s">
        <v>13</v>
      </c>
      <c r="C15" s="2">
        <v>23</v>
      </c>
      <c r="D15" s="2" t="s">
        <v>1045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456A-7BE4-6740-AC82-903206DD3F75}">
  <sheetPr>
    <tabColor theme="4"/>
  </sheetPr>
  <dimension ref="A1:N42"/>
  <sheetViews>
    <sheetView showGridLines="0" workbookViewId="0">
      <pane ySplit="1" topLeftCell="A2" activePane="bottomLeft" state="frozen"/>
      <selection pane="bottomLeft" activeCell="J35" sqref="J35"/>
    </sheetView>
  </sheetViews>
  <sheetFormatPr defaultColWidth="11" defaultRowHeight="15.95"/>
  <cols>
    <col min="1" max="1" width="33.625" bestFit="1" customWidth="1"/>
    <col min="4" max="4" width="11.125" customWidth="1"/>
    <col min="7" max="7" width="13.875" bestFit="1" customWidth="1"/>
    <col min="8" max="8" width="42.875" bestFit="1" customWidth="1"/>
    <col min="9" max="9" width="28.375" bestFit="1" customWidth="1"/>
    <col min="10" max="10" width="38" style="29" customWidth="1"/>
  </cols>
  <sheetData>
    <row r="1" spans="1:14">
      <c r="A1" s="4" t="s">
        <v>89</v>
      </c>
      <c r="B1" s="4" t="s">
        <v>90</v>
      </c>
      <c r="C1" s="4" t="s">
        <v>91</v>
      </c>
      <c r="D1" s="4" t="s">
        <v>92</v>
      </c>
      <c r="E1" s="4" t="s">
        <v>93</v>
      </c>
      <c r="F1" s="4" t="s">
        <v>94</v>
      </c>
      <c r="G1" s="4" t="s">
        <v>95</v>
      </c>
      <c r="H1" s="4" t="s">
        <v>96</v>
      </c>
      <c r="I1" s="1" t="s">
        <v>97</v>
      </c>
      <c r="J1" s="43" t="s">
        <v>98</v>
      </c>
    </row>
    <row r="2" spans="1:14" ht="17.100000000000001">
      <c r="A2" s="5" t="s">
        <v>105</v>
      </c>
      <c r="B2" s="5">
        <v>0.122</v>
      </c>
      <c r="C2" s="5">
        <v>0.11899999999999999</v>
      </c>
      <c r="D2" s="5">
        <v>0.125</v>
      </c>
      <c r="E2" s="5">
        <v>50981</v>
      </c>
      <c r="F2" s="5" t="s">
        <v>106</v>
      </c>
      <c r="G2" s="5" t="s">
        <v>107</v>
      </c>
      <c r="H2" s="5" t="s">
        <v>108</v>
      </c>
      <c r="I2" s="2"/>
      <c r="J2" s="30" t="s">
        <v>109</v>
      </c>
    </row>
    <row r="3" spans="1:14">
      <c r="A3" s="5" t="s">
        <v>111</v>
      </c>
      <c r="B3" s="5">
        <v>0.98499999999999999</v>
      </c>
      <c r="C3" s="5">
        <v>0.98399999999999999</v>
      </c>
      <c r="D3" s="5">
        <v>0.98599999999999999</v>
      </c>
      <c r="E3" s="5">
        <v>44031</v>
      </c>
      <c r="F3" s="5" t="s">
        <v>106</v>
      </c>
      <c r="G3" s="5" t="s">
        <v>107</v>
      </c>
      <c r="H3" s="5" t="s">
        <v>112</v>
      </c>
      <c r="I3" s="2"/>
      <c r="J3" s="32" t="s">
        <v>113</v>
      </c>
    </row>
    <row r="4" spans="1:14" ht="17.100000000000001">
      <c r="A4" s="5" t="s">
        <v>114</v>
      </c>
      <c r="B4" s="5">
        <v>0.48</v>
      </c>
      <c r="C4" s="5">
        <v>0.47899999999999998</v>
      </c>
      <c r="D4" s="5">
        <v>0.48099999999999998</v>
      </c>
      <c r="E4" s="5"/>
      <c r="F4" s="5" t="s">
        <v>115</v>
      </c>
      <c r="G4" s="5" t="s">
        <v>116</v>
      </c>
      <c r="H4" s="5" t="s">
        <v>117</v>
      </c>
      <c r="I4" s="2"/>
      <c r="J4" s="30" t="s">
        <v>118</v>
      </c>
    </row>
    <row r="5" spans="1:14" ht="17.100000000000001">
      <c r="A5" s="5" t="s">
        <v>119</v>
      </c>
      <c r="B5" s="5">
        <v>0.64300000000000002</v>
      </c>
      <c r="C5" s="5">
        <v>0.64100000000000001</v>
      </c>
      <c r="D5" s="5">
        <v>0.64500000000000002</v>
      </c>
      <c r="E5" s="5">
        <v>165908</v>
      </c>
      <c r="F5" s="5" t="s">
        <v>106</v>
      </c>
      <c r="G5" s="5" t="s">
        <v>116</v>
      </c>
      <c r="H5" s="5" t="s">
        <v>120</v>
      </c>
      <c r="I5" s="2"/>
      <c r="J5" s="30" t="s">
        <v>121</v>
      </c>
    </row>
    <row r="6" spans="1:14" ht="17.100000000000001">
      <c r="A6" s="5" t="s">
        <v>122</v>
      </c>
      <c r="B6" s="5">
        <v>3.9E-2</v>
      </c>
      <c r="C6" s="5">
        <v>3.7999999999999999E-2</v>
      </c>
      <c r="D6" s="5">
        <v>0.04</v>
      </c>
      <c r="E6" s="5">
        <v>165908</v>
      </c>
      <c r="F6" s="5" t="s">
        <v>106</v>
      </c>
      <c r="G6" s="5" t="s">
        <v>116</v>
      </c>
      <c r="H6" s="5" t="s">
        <v>123</v>
      </c>
      <c r="I6" s="2"/>
      <c r="J6" s="30" t="s">
        <v>121</v>
      </c>
    </row>
    <row r="7" spans="1:14" ht="17.100000000000001">
      <c r="A7" s="5" t="s">
        <v>124</v>
      </c>
      <c r="B7" s="5">
        <v>0.03</v>
      </c>
      <c r="C7" s="5">
        <v>2.9000000000000001E-2</v>
      </c>
      <c r="D7" s="5">
        <v>3.1E-2</v>
      </c>
      <c r="E7" s="5">
        <v>165908</v>
      </c>
      <c r="F7" s="5" t="s">
        <v>106</v>
      </c>
      <c r="G7" s="5" t="s">
        <v>116</v>
      </c>
      <c r="H7" s="5" t="s">
        <v>125</v>
      </c>
      <c r="I7" s="2"/>
      <c r="J7" s="30" t="s">
        <v>121</v>
      </c>
    </row>
    <row r="8" spans="1:14" ht="17.100000000000001">
      <c r="A8" s="5" t="s">
        <v>126</v>
      </c>
      <c r="B8" s="5">
        <v>0.105</v>
      </c>
      <c r="C8" s="5">
        <v>0.104</v>
      </c>
      <c r="D8" s="5">
        <v>0.106</v>
      </c>
      <c r="E8" s="5">
        <v>165908</v>
      </c>
      <c r="F8" s="5" t="s">
        <v>106</v>
      </c>
      <c r="G8" s="5" t="s">
        <v>116</v>
      </c>
      <c r="H8" s="5" t="s">
        <v>127</v>
      </c>
      <c r="I8" s="2"/>
      <c r="J8" s="30" t="s">
        <v>121</v>
      </c>
    </row>
    <row r="9" spans="1:14" ht="17.100000000000001">
      <c r="A9" s="5" t="s">
        <v>128</v>
      </c>
      <c r="B9" s="5">
        <v>7.2999999999999995E-2</v>
      </c>
      <c r="C9" s="5">
        <v>6.7000000000000004E-2</v>
      </c>
      <c r="D9" s="5">
        <v>7.9000000000000001E-2</v>
      </c>
      <c r="E9" s="5">
        <v>6168</v>
      </c>
      <c r="F9" s="5" t="s">
        <v>106</v>
      </c>
      <c r="G9" s="5" t="s">
        <v>129</v>
      </c>
      <c r="H9" s="5" t="s">
        <v>130</v>
      </c>
      <c r="I9" s="2"/>
      <c r="J9" s="30" t="s">
        <v>131</v>
      </c>
      <c r="M9" s="25"/>
    </row>
    <row r="10" spans="1:14" ht="17.100000000000001">
      <c r="A10" s="5" t="s">
        <v>132</v>
      </c>
      <c r="B10" s="5">
        <v>7.9000000000000001E-2</v>
      </c>
      <c r="C10" s="5">
        <v>7.4999999999999997E-2</v>
      </c>
      <c r="D10" s="5">
        <v>8.3000000000000004E-2</v>
      </c>
      <c r="E10" s="5">
        <v>15773</v>
      </c>
      <c r="F10" s="5" t="s">
        <v>106</v>
      </c>
      <c r="G10" s="5" t="s">
        <v>129</v>
      </c>
      <c r="H10" s="5" t="s">
        <v>133</v>
      </c>
      <c r="I10" s="2"/>
      <c r="J10" s="30" t="s">
        <v>131</v>
      </c>
      <c r="N10" s="25"/>
    </row>
    <row r="11" spans="1:14" ht="17.100000000000001">
      <c r="A11" s="5" t="s">
        <v>134</v>
      </c>
      <c r="B11" s="5">
        <v>9.1999999999999998E-2</v>
      </c>
      <c r="C11" s="5">
        <v>8.8999999999999996E-2</v>
      </c>
      <c r="D11" s="5">
        <v>9.5000000000000001E-2</v>
      </c>
      <c r="E11" s="5">
        <v>30685</v>
      </c>
      <c r="F11" s="5" t="s">
        <v>106</v>
      </c>
      <c r="G11" s="5" t="s">
        <v>129</v>
      </c>
      <c r="H11" s="5" t="s">
        <v>135</v>
      </c>
      <c r="I11" s="2"/>
      <c r="J11" s="30" t="s">
        <v>131</v>
      </c>
    </row>
    <row r="12" spans="1:14" ht="17.100000000000001">
      <c r="A12" s="5" t="s">
        <v>136</v>
      </c>
      <c r="B12" s="5">
        <v>0.112</v>
      </c>
      <c r="C12" s="5">
        <v>0.109</v>
      </c>
      <c r="D12" s="5">
        <v>0.115</v>
      </c>
      <c r="E12" s="5">
        <v>44722</v>
      </c>
      <c r="F12" s="5" t="s">
        <v>106</v>
      </c>
      <c r="G12" s="5" t="s">
        <v>129</v>
      </c>
      <c r="H12" s="5" t="s">
        <v>137</v>
      </c>
      <c r="I12" s="2"/>
      <c r="J12" s="30" t="s">
        <v>131</v>
      </c>
    </row>
    <row r="13" spans="1:14" ht="17.100000000000001">
      <c r="A13" s="5" t="s">
        <v>138</v>
      </c>
      <c r="B13" s="5">
        <v>0.14899999999999999</v>
      </c>
      <c r="C13" s="5">
        <v>0.14399999999999999</v>
      </c>
      <c r="D13" s="5">
        <v>0.154</v>
      </c>
      <c r="E13" s="5">
        <v>18638</v>
      </c>
      <c r="F13" s="5" t="s">
        <v>106</v>
      </c>
      <c r="G13" s="5" t="s">
        <v>129</v>
      </c>
      <c r="H13" s="5" t="s">
        <v>139</v>
      </c>
      <c r="I13" s="2"/>
      <c r="J13" s="30" t="s">
        <v>131</v>
      </c>
    </row>
    <row r="14" spans="1:14" ht="17.100000000000001">
      <c r="A14" s="5" t="s">
        <v>140</v>
      </c>
      <c r="B14" s="5">
        <v>0.19700000000000001</v>
      </c>
      <c r="C14" s="5">
        <v>0.183</v>
      </c>
      <c r="D14" s="5">
        <v>0.21099999999999999</v>
      </c>
      <c r="E14" s="5">
        <v>3268</v>
      </c>
      <c r="F14" s="5" t="s">
        <v>106</v>
      </c>
      <c r="G14" s="5" t="s">
        <v>129</v>
      </c>
      <c r="H14" s="5" t="s">
        <v>141</v>
      </c>
      <c r="I14" s="2"/>
      <c r="J14" s="30" t="s">
        <v>131</v>
      </c>
    </row>
    <row r="15" spans="1:14" ht="17.100000000000001">
      <c r="A15" s="5" t="s">
        <v>142</v>
      </c>
      <c r="B15" s="5">
        <v>7.0000000000000007E-2</v>
      </c>
      <c r="C15" s="5">
        <v>4.2000000000000003E-2</v>
      </c>
      <c r="D15" s="5">
        <v>9.8000000000000004E-2</v>
      </c>
      <c r="E15" s="5">
        <v>318</v>
      </c>
      <c r="F15" s="5" t="s">
        <v>106</v>
      </c>
      <c r="G15" s="5" t="s">
        <v>129</v>
      </c>
      <c r="H15" s="5" t="s">
        <v>143</v>
      </c>
      <c r="I15" s="2" t="s">
        <v>144</v>
      </c>
      <c r="J15" s="30" t="s">
        <v>145</v>
      </c>
    </row>
    <row r="16" spans="1:14" ht="17.100000000000001">
      <c r="A16" s="5" t="s">
        <v>146</v>
      </c>
      <c r="B16" s="5">
        <v>0.185</v>
      </c>
      <c r="C16" s="5">
        <v>0.14199999999999999</v>
      </c>
      <c r="D16" s="5">
        <v>0.22800000000000001</v>
      </c>
      <c r="E16" s="5">
        <v>318</v>
      </c>
      <c r="F16" s="5" t="s">
        <v>106</v>
      </c>
      <c r="G16" s="5" t="s">
        <v>129</v>
      </c>
      <c r="H16" s="5" t="s">
        <v>147</v>
      </c>
      <c r="I16" s="2" t="s">
        <v>144</v>
      </c>
      <c r="J16" s="30" t="s">
        <v>145</v>
      </c>
      <c r="N16" s="25"/>
    </row>
    <row r="17" spans="1:14" ht="17.100000000000001">
      <c r="A17" s="5" t="s">
        <v>148</v>
      </c>
      <c r="B17" s="5">
        <v>0.105</v>
      </c>
      <c r="C17" s="5">
        <v>8.3000000000000004E-2</v>
      </c>
      <c r="D17" s="5">
        <v>0.127</v>
      </c>
      <c r="E17" s="5">
        <v>779</v>
      </c>
      <c r="F17" s="5" t="s">
        <v>106</v>
      </c>
      <c r="G17" s="5" t="s">
        <v>129</v>
      </c>
      <c r="H17" s="5" t="s">
        <v>149</v>
      </c>
      <c r="I17" s="2"/>
      <c r="J17" s="30" t="s">
        <v>150</v>
      </c>
    </row>
    <row r="18" spans="1:14" ht="17.100000000000001">
      <c r="A18" s="5" t="s">
        <v>151</v>
      </c>
      <c r="B18" s="5">
        <v>0.35699999999999998</v>
      </c>
      <c r="C18" s="5">
        <v>0.22700000000000001</v>
      </c>
      <c r="D18" s="5">
        <v>0.47399999999999998</v>
      </c>
      <c r="E18" s="5"/>
      <c r="F18" s="5" t="s">
        <v>106</v>
      </c>
      <c r="G18" s="5" t="s">
        <v>152</v>
      </c>
      <c r="H18" s="5" t="s">
        <v>153</v>
      </c>
      <c r="I18" s="2"/>
      <c r="J18" s="30" t="s">
        <v>154</v>
      </c>
    </row>
    <row r="19" spans="1:14" ht="17.100000000000001">
      <c r="A19" s="5" t="s">
        <v>155</v>
      </c>
      <c r="B19" s="5">
        <v>7.0000000000000007E-2</v>
      </c>
      <c r="C19" s="5">
        <v>3.2000000000000001E-2</v>
      </c>
      <c r="D19" s="5">
        <v>0.108</v>
      </c>
      <c r="E19" s="5">
        <v>170</v>
      </c>
      <c r="F19" s="5" t="s">
        <v>106</v>
      </c>
      <c r="G19" s="5" t="s">
        <v>152</v>
      </c>
      <c r="H19" s="5" t="s">
        <v>156</v>
      </c>
      <c r="I19" s="2"/>
      <c r="J19" s="30" t="s">
        <v>157</v>
      </c>
    </row>
    <row r="20" spans="1:14" ht="17.100000000000001">
      <c r="A20" s="5" t="s">
        <v>158</v>
      </c>
      <c r="B20" s="5">
        <v>0.33500000000000002</v>
      </c>
      <c r="C20" s="5">
        <v>0.26400000000000001</v>
      </c>
      <c r="D20" s="5">
        <v>0.40600000000000003</v>
      </c>
      <c r="E20" s="5">
        <v>170</v>
      </c>
      <c r="F20" s="5" t="s">
        <v>106</v>
      </c>
      <c r="G20" s="5" t="s">
        <v>152</v>
      </c>
      <c r="H20" s="5" t="s">
        <v>159</v>
      </c>
      <c r="I20" s="2"/>
      <c r="J20" s="30" t="s">
        <v>157</v>
      </c>
    </row>
    <row r="21" spans="1:14" ht="17.100000000000001">
      <c r="A21" s="5" t="s">
        <v>160</v>
      </c>
      <c r="B21" s="5">
        <v>0.14799999999999999</v>
      </c>
      <c r="C21" s="5">
        <v>8.7999999999999995E-2</v>
      </c>
      <c r="D21" s="5">
        <v>0.20799999999999999</v>
      </c>
      <c r="E21" s="5">
        <v>135</v>
      </c>
      <c r="F21" s="5" t="s">
        <v>106</v>
      </c>
      <c r="G21" s="5" t="s">
        <v>152</v>
      </c>
      <c r="H21" s="5" t="s">
        <v>161</v>
      </c>
      <c r="I21" s="2"/>
      <c r="J21" s="30" t="s">
        <v>162</v>
      </c>
      <c r="N21" s="25"/>
    </row>
    <row r="22" spans="1:14" ht="17.100000000000001">
      <c r="A22" s="5" t="s">
        <v>163</v>
      </c>
      <c r="B22" s="5">
        <v>6.4000000000000001E-2</v>
      </c>
      <c r="C22" s="5">
        <v>2.7E-2</v>
      </c>
      <c r="D22" s="5">
        <v>0.10100000000000001</v>
      </c>
      <c r="E22" s="5">
        <v>170</v>
      </c>
      <c r="F22" s="5" t="s">
        <v>106</v>
      </c>
      <c r="G22" s="5" t="s">
        <v>152</v>
      </c>
      <c r="H22" s="5" t="s">
        <v>164</v>
      </c>
      <c r="I22" s="2"/>
      <c r="J22" s="30" t="s">
        <v>157</v>
      </c>
    </row>
    <row r="23" spans="1:14" ht="17.100000000000001">
      <c r="A23" s="5" t="s">
        <v>165</v>
      </c>
      <c r="B23" s="5">
        <v>0.188</v>
      </c>
      <c r="C23" s="5">
        <v>0.129</v>
      </c>
      <c r="D23" s="5">
        <v>0.247</v>
      </c>
      <c r="E23" s="5">
        <v>170</v>
      </c>
      <c r="F23" s="5" t="s">
        <v>106</v>
      </c>
      <c r="G23" s="5" t="s">
        <v>152</v>
      </c>
      <c r="H23" s="5" t="s">
        <v>166</v>
      </c>
      <c r="I23" s="2"/>
      <c r="J23" s="30" t="s">
        <v>157</v>
      </c>
    </row>
    <row r="24" spans="1:14" ht="17.100000000000001">
      <c r="A24" s="5" t="s">
        <v>167</v>
      </c>
      <c r="B24" s="5">
        <v>0.185</v>
      </c>
      <c r="C24" s="5">
        <v>0.11899999999999999</v>
      </c>
      <c r="D24" s="5">
        <v>0.251</v>
      </c>
      <c r="E24" s="5">
        <v>135</v>
      </c>
      <c r="F24" s="5" t="s">
        <v>106</v>
      </c>
      <c r="G24" s="5" t="s">
        <v>152</v>
      </c>
      <c r="H24" s="5" t="s">
        <v>168</v>
      </c>
      <c r="I24" s="2"/>
      <c r="J24" s="30" t="s">
        <v>162</v>
      </c>
    </row>
    <row r="25" spans="1:14" ht="17.100000000000001">
      <c r="A25" s="5" t="s">
        <v>169</v>
      </c>
      <c r="B25" s="5">
        <v>0.69199999999999995</v>
      </c>
      <c r="C25" s="5">
        <v>0.51500000000000001</v>
      </c>
      <c r="D25" s="5">
        <v>0.86899999999999999</v>
      </c>
      <c r="E25" s="5">
        <v>26</v>
      </c>
      <c r="F25" s="5" t="s">
        <v>106</v>
      </c>
      <c r="G25" s="5" t="s">
        <v>152</v>
      </c>
      <c r="H25" s="5" t="s">
        <v>170</v>
      </c>
      <c r="I25" s="2"/>
      <c r="J25" s="30" t="s">
        <v>171</v>
      </c>
    </row>
    <row r="26" spans="1:14" ht="17.100000000000001">
      <c r="A26" s="5" t="s">
        <v>172</v>
      </c>
      <c r="B26" s="5">
        <v>0.16500000000000001</v>
      </c>
      <c r="C26" s="5">
        <v>0.10199999999999999</v>
      </c>
      <c r="D26" s="5">
        <v>0.22800000000000001</v>
      </c>
      <c r="E26" s="5">
        <v>135</v>
      </c>
      <c r="F26" s="5" t="s">
        <v>106</v>
      </c>
      <c r="G26" s="5" t="s">
        <v>152</v>
      </c>
      <c r="H26" s="5" t="s">
        <v>173</v>
      </c>
      <c r="I26" s="2"/>
      <c r="J26" s="30" t="s">
        <v>162</v>
      </c>
    </row>
    <row r="27" spans="1:14" ht="17.100000000000001">
      <c r="A27" s="5" t="s">
        <v>174</v>
      </c>
      <c r="B27" s="5">
        <v>0.25</v>
      </c>
      <c r="C27" s="5">
        <v>0.25</v>
      </c>
      <c r="D27" s="5">
        <v>0.25</v>
      </c>
      <c r="E27" s="5">
        <v>3544672</v>
      </c>
      <c r="F27" s="5" t="s">
        <v>106</v>
      </c>
      <c r="G27" s="5" t="s">
        <v>152</v>
      </c>
      <c r="H27" s="5" t="s">
        <v>175</v>
      </c>
      <c r="I27" s="2"/>
      <c r="J27" s="30" t="s">
        <v>176</v>
      </c>
    </row>
    <row r="28" spans="1:14" ht="51">
      <c r="A28" s="5" t="s">
        <v>177</v>
      </c>
      <c r="B28" s="5">
        <v>4.2</v>
      </c>
      <c r="C28" s="5">
        <v>1.79</v>
      </c>
      <c r="D28" s="5">
        <v>10.86</v>
      </c>
      <c r="E28" s="5"/>
      <c r="F28" s="5" t="s">
        <v>178</v>
      </c>
      <c r="G28" s="5" t="s">
        <v>179</v>
      </c>
      <c r="H28" s="5" t="s">
        <v>180</v>
      </c>
      <c r="I28" s="2"/>
      <c r="J28" s="30" t="s">
        <v>181</v>
      </c>
    </row>
    <row r="29" spans="1:14" ht="17.100000000000001">
      <c r="A29" s="5" t="s">
        <v>182</v>
      </c>
      <c r="B29" s="5">
        <v>4.2</v>
      </c>
      <c r="C29" s="5">
        <v>1.68</v>
      </c>
      <c r="D29" s="5">
        <v>10.5</v>
      </c>
      <c r="E29" s="5"/>
      <c r="F29" s="5" t="s">
        <v>178</v>
      </c>
      <c r="G29" s="5" t="s">
        <v>179</v>
      </c>
      <c r="H29" s="5" t="s">
        <v>183</v>
      </c>
      <c r="I29" s="2"/>
      <c r="J29" s="30" t="s">
        <v>184</v>
      </c>
    </row>
    <row r="30" spans="1:14" ht="17.100000000000001">
      <c r="A30" s="5" t="s">
        <v>185</v>
      </c>
      <c r="B30" s="5">
        <v>2.2599999999999998</v>
      </c>
      <c r="C30" s="5">
        <v>1.05</v>
      </c>
      <c r="D30" s="5">
        <v>4.8899999999999997</v>
      </c>
      <c r="E30" s="5"/>
      <c r="F30" s="5" t="s">
        <v>115</v>
      </c>
      <c r="G30" s="5" t="s">
        <v>179</v>
      </c>
      <c r="H30" s="5" t="s">
        <v>186</v>
      </c>
      <c r="I30" s="2"/>
      <c r="J30" s="30" t="s">
        <v>187</v>
      </c>
    </row>
    <row r="31" spans="1:14" ht="17.100000000000001">
      <c r="A31" s="5" t="s">
        <v>188</v>
      </c>
      <c r="B31" s="5">
        <v>3.54</v>
      </c>
      <c r="C31" s="5">
        <v>1.2</v>
      </c>
      <c r="D31" s="5">
        <v>10.4</v>
      </c>
      <c r="E31" s="5"/>
      <c r="F31" s="5" t="s">
        <v>115</v>
      </c>
      <c r="G31" s="5" t="s">
        <v>179</v>
      </c>
      <c r="H31" s="5" t="s">
        <v>189</v>
      </c>
      <c r="I31" s="2"/>
      <c r="J31" s="30" t="s">
        <v>190</v>
      </c>
    </row>
    <row r="32" spans="1:14" ht="17.100000000000001">
      <c r="A32" s="5" t="s">
        <v>191</v>
      </c>
      <c r="B32" s="5">
        <v>5.68</v>
      </c>
      <c r="C32" s="5">
        <v>4.38</v>
      </c>
      <c r="D32" s="5">
        <v>7.36</v>
      </c>
      <c r="E32" s="5"/>
      <c r="F32" s="5" t="s">
        <v>115</v>
      </c>
      <c r="G32" s="5" t="s">
        <v>179</v>
      </c>
      <c r="H32" s="5" t="s">
        <v>192</v>
      </c>
      <c r="I32" s="2"/>
      <c r="J32" s="30" t="s">
        <v>193</v>
      </c>
    </row>
    <row r="33" spans="1:10" ht="17.100000000000001">
      <c r="A33" s="5" t="s">
        <v>194</v>
      </c>
      <c r="B33" s="5">
        <v>3.74</v>
      </c>
      <c r="C33" s="5">
        <v>2.79</v>
      </c>
      <c r="D33" s="5">
        <v>4.8099999999999996</v>
      </c>
      <c r="E33" s="5"/>
      <c r="F33" s="5" t="s">
        <v>115</v>
      </c>
      <c r="G33" s="5" t="s">
        <v>179</v>
      </c>
      <c r="H33" s="5" t="s">
        <v>195</v>
      </c>
      <c r="I33" s="2"/>
      <c r="J33" s="30" t="s">
        <v>196</v>
      </c>
    </row>
    <row r="34" spans="1:10" ht="17.100000000000001">
      <c r="A34" s="5" t="s">
        <v>197</v>
      </c>
      <c r="B34" s="5">
        <v>2.2799999999999998</v>
      </c>
      <c r="C34" s="5">
        <v>1.87</v>
      </c>
      <c r="D34" s="5">
        <v>2.79</v>
      </c>
      <c r="E34" s="5"/>
      <c r="F34" s="5" t="s">
        <v>115</v>
      </c>
      <c r="G34" s="5" t="s">
        <v>179</v>
      </c>
      <c r="H34" s="5" t="s">
        <v>198</v>
      </c>
      <c r="I34" s="2"/>
      <c r="J34" s="30" t="s">
        <v>199</v>
      </c>
    </row>
    <row r="35" spans="1:10" ht="17.100000000000001">
      <c r="A35" s="5" t="s">
        <v>200</v>
      </c>
      <c r="B35" s="5">
        <v>3.17</v>
      </c>
      <c r="C35" s="5">
        <v>2.48</v>
      </c>
      <c r="D35" s="5">
        <v>4.04</v>
      </c>
      <c r="E35" s="5"/>
      <c r="F35" s="5" t="s">
        <v>115</v>
      </c>
      <c r="G35" s="5" t="s">
        <v>179</v>
      </c>
      <c r="H35" s="5" t="s">
        <v>201</v>
      </c>
      <c r="I35" s="2"/>
      <c r="J35" s="30" t="s">
        <v>199</v>
      </c>
    </row>
    <row r="36" spans="1:10" ht="17.100000000000001">
      <c r="A36" s="5" t="s">
        <v>202</v>
      </c>
      <c r="B36" s="5">
        <v>1.59</v>
      </c>
      <c r="C36" s="5">
        <v>1.3</v>
      </c>
      <c r="D36" s="5">
        <v>1.93</v>
      </c>
      <c r="E36" s="5"/>
      <c r="F36" s="5" t="s">
        <v>115</v>
      </c>
      <c r="G36" s="5" t="s">
        <v>179</v>
      </c>
      <c r="H36" s="5" t="s">
        <v>203</v>
      </c>
      <c r="I36" s="2"/>
      <c r="J36" s="30" t="s">
        <v>204</v>
      </c>
    </row>
    <row r="37" spans="1:10" ht="17.100000000000001">
      <c r="A37" s="5" t="s">
        <v>205</v>
      </c>
      <c r="B37" s="5">
        <v>2.5</v>
      </c>
      <c r="C37" s="5">
        <v>1.1000000000000001</v>
      </c>
      <c r="D37" s="5">
        <v>5.6</v>
      </c>
      <c r="E37" s="5"/>
      <c r="F37" s="5" t="s">
        <v>115</v>
      </c>
      <c r="G37" s="5" t="s">
        <v>179</v>
      </c>
      <c r="H37" s="5" t="s">
        <v>206</v>
      </c>
      <c r="I37" s="2"/>
      <c r="J37" s="30" t="s">
        <v>207</v>
      </c>
    </row>
    <row r="38" spans="1:10" ht="17.100000000000001">
      <c r="A38" s="5" t="s">
        <v>208</v>
      </c>
      <c r="B38" s="5">
        <v>0.74</v>
      </c>
      <c r="C38" s="5">
        <v>0.65</v>
      </c>
      <c r="D38" s="5">
        <v>0.82</v>
      </c>
      <c r="E38" s="5"/>
      <c r="F38" s="5" t="s">
        <v>106</v>
      </c>
      <c r="G38" s="5" t="s">
        <v>209</v>
      </c>
      <c r="H38" s="5" t="s">
        <v>210</v>
      </c>
      <c r="I38" s="2"/>
      <c r="J38" s="30" t="s">
        <v>211</v>
      </c>
    </row>
    <row r="39" spans="1:10" ht="17.100000000000001">
      <c r="A39" s="5" t="s">
        <v>212</v>
      </c>
      <c r="B39" s="5">
        <v>0.77</v>
      </c>
      <c r="C39" s="5">
        <v>0.69</v>
      </c>
      <c r="D39" s="5">
        <v>0.84</v>
      </c>
      <c r="E39" s="5"/>
      <c r="F39" s="5" t="s">
        <v>106</v>
      </c>
      <c r="G39" s="5" t="s">
        <v>209</v>
      </c>
      <c r="H39" s="5" t="s">
        <v>213</v>
      </c>
      <c r="I39" s="2"/>
      <c r="J39" s="30" t="s">
        <v>211</v>
      </c>
    </row>
    <row r="40" spans="1:10" ht="17.100000000000001">
      <c r="A40" s="5" t="s">
        <v>214</v>
      </c>
      <c r="B40" s="5">
        <v>0.87</v>
      </c>
      <c r="C40" s="5">
        <v>0.81699999999999995</v>
      </c>
      <c r="D40" s="5">
        <v>0.92300000000000004</v>
      </c>
      <c r="E40" s="5">
        <v>154</v>
      </c>
      <c r="F40" s="5" t="s">
        <v>106</v>
      </c>
      <c r="G40" s="5" t="s">
        <v>209</v>
      </c>
      <c r="H40" s="5" t="s">
        <v>215</v>
      </c>
      <c r="I40" s="2"/>
      <c r="J40" s="30" t="s">
        <v>216</v>
      </c>
    </row>
    <row r="41" spans="1:10" ht="17.100000000000001">
      <c r="A41" s="5" t="s">
        <v>217</v>
      </c>
      <c r="B41" s="5">
        <v>0.77400000000000002</v>
      </c>
      <c r="C41" s="5">
        <v>0.73899999999999999</v>
      </c>
      <c r="D41" s="5">
        <v>0.80900000000000005</v>
      </c>
      <c r="E41" s="5">
        <v>552</v>
      </c>
      <c r="F41" s="5" t="s">
        <v>106</v>
      </c>
      <c r="G41" s="5" t="s">
        <v>209</v>
      </c>
      <c r="H41" s="5" t="s">
        <v>218</v>
      </c>
      <c r="J41" s="30" t="s">
        <v>219</v>
      </c>
    </row>
    <row r="42" spans="1:10" ht="17.100000000000001">
      <c r="A42" s="5" t="s">
        <v>220</v>
      </c>
      <c r="B42" s="5">
        <v>0.93899999999999995</v>
      </c>
      <c r="C42" s="5">
        <v>0.91900000000000004</v>
      </c>
      <c r="D42" s="5">
        <v>0.95899999999999996</v>
      </c>
      <c r="E42" s="5">
        <v>552</v>
      </c>
      <c r="F42" s="5" t="s">
        <v>106</v>
      </c>
      <c r="G42" s="5" t="s">
        <v>209</v>
      </c>
      <c r="H42" s="5" t="s">
        <v>221</v>
      </c>
      <c r="J42" s="30" t="s">
        <v>219</v>
      </c>
    </row>
  </sheetData>
  <hyperlinks>
    <hyperlink ref="J2" r:id="rId1" display="https://journals.plos.org/plosone/article/file?id=10.1371/journal.pone.0233845&amp;type=printable" xr:uid="{39D45DE2-C94A-834E-BD58-617B816EAA75}"/>
    <hyperlink ref="J4" r:id="rId2" display="https://bmcpediatr.biomedcentral.com/articles/10.1186/s12887-022-03591-w" xr:uid="{7147BA17-FB54-6348-91EB-E8C8BC7F1FE9}"/>
    <hyperlink ref="J5:J8" r:id="rId3" display="https://doi.org/10.1111/j.1365-3016.2007.00862.x" xr:uid="{D7D3159B-544B-E547-BA7D-B220C5C846EA}"/>
    <hyperlink ref="J9" r:id="rId4" display="https://pmc.ncbi.nlm.nih.gov/articles/PMC1941614/" xr:uid="{852F8F2A-B6D9-054C-A58A-A5C335E2FF39}"/>
    <hyperlink ref="J10" r:id="rId5" display="https://pmc.ncbi.nlm.nih.gov/articles/PMC1941614/" xr:uid="{530AE286-6CBE-A345-B94F-5D867AF4DA16}"/>
    <hyperlink ref="J11" r:id="rId6" display="https://pmc.ncbi.nlm.nih.gov/articles/PMC1941614/" xr:uid="{85FF043B-05F1-974C-B97F-AA518DE0D312}"/>
    <hyperlink ref="J12" r:id="rId7" display="https://pmc.ncbi.nlm.nih.gov/articles/PMC1941614/" xr:uid="{45E12CE3-E28C-8348-8331-1BB25592DB5E}"/>
    <hyperlink ref="J13" r:id="rId8" display="https://pmc.ncbi.nlm.nih.gov/articles/PMC1941614/" xr:uid="{C44B73FF-4538-AE40-A5C9-6FA6942BE491}"/>
    <hyperlink ref="J14" r:id="rId9" display="https://pmc.ncbi.nlm.nih.gov/articles/PMC1941614/" xr:uid="{F43BE25F-94A0-4F49-B08F-6AABE7489D64}"/>
    <hyperlink ref="J15" r:id="rId10" display="https://www.ncbi.nlm.nih.gov/pmc/articles/PMC9499287/pdf/pone.0275170.pdf" xr:uid="{37FCDD02-A6E2-0449-B03C-68ED2BB438F1}"/>
    <hyperlink ref="J16" r:id="rId11" display="https://www.ncbi.nlm.nih.gov/pmc/articles/PMC9499287/pdf/pone.0275170.pdf" xr:uid="{90FC8D8F-669C-2143-AE7F-8EBC86992B91}"/>
    <hyperlink ref="J17" r:id="rId12" display="https://obgyn.onlinelibrary.wiley.com/doi/10.1111/j.1600-0412.2012.01358.x" xr:uid="{56F5320C-0E2A-704E-BABE-783887C81051}"/>
    <hyperlink ref="J18" r:id="rId13" display="https://pubmed.ncbi.nlm.nih.gov/36178921/" xr:uid="{FD3C26A6-8AFC-D142-8E0E-CB72C6E82887}"/>
    <hyperlink ref="J19" r:id="rId14" display="https://www.jnhrc.com.np/index.php/jnhrc/article/view/2093/928" xr:uid="{DF1E7420-25A6-DD40-AD39-B21EF6C8AE50}"/>
    <hyperlink ref="J20" r:id="rId15" display="https://www.jnhrc.com.np/index.php/jnhrc/article/view/2093/928" xr:uid="{3D1C681C-C69B-D148-954B-410A684F1238}"/>
    <hyperlink ref="J21" r:id="rId16" display="http://erepository.uonbi.ac.ke/handle/11295/25728" xr:uid="{537F88C7-ED20-A94E-8C57-4D3239150FE4}"/>
    <hyperlink ref="J22" r:id="rId17" display="https://www.jnhrc.com.np/index.php/jnhrc/article/view/2093/928" xr:uid="{2F292F00-3110-C44B-AFA4-338609408222}"/>
    <hyperlink ref="J23" r:id="rId18" display="https://www.jnhrc.com.np/index.php/jnhrc/article/view/2093/928" xr:uid="{ADB3F6CE-575E-7146-B8D9-1BB72BA4677E}"/>
    <hyperlink ref="J24" r:id="rId19" display="http://erepository.uonbi.ac.ke/handle/11295/25728" xr:uid="{C4A86754-52FE-A540-84E8-9BEA1F62E6F9}"/>
    <hyperlink ref="J25" r:id="rId20" display="https://pmc.ncbi.nlm.nih.gov/articles/PMC6128623/" xr:uid="{9444395C-200C-0646-B9C4-FC5C706FDA06}"/>
    <hyperlink ref="J26" r:id="rId21" display="http://erepository.uonbi.ac.ke/handle/11295/25728" xr:uid="{B4A9985F-6990-8548-A7DA-814EC17F1AD7}"/>
    <hyperlink ref="J34" r:id="rId22" display="https://jamanetwork.com/journals/jamanetworkopen/fullarticle/2806478" xr:uid="{64F3E881-D995-8546-B058-549557EB457D}"/>
    <hyperlink ref="J35" r:id="rId23" display="https://jamanetwork.com/journals/jamanetworkopen/fullarticle/2806478" xr:uid="{7CED13F7-2CC5-D049-8257-C42B922C47B9}"/>
    <hyperlink ref="J36" r:id="rId24" display="https://www.cmaj.ca/content/189/27/e905?" xr:uid="{B59A541C-E880-EC4C-AE61-4E299028DA48}"/>
    <hyperlink ref="J37" r:id="rId25" display="https://pmc.ncbi.nlm.nih.gov/articles/PMC7391531/?" xr:uid="{2CD9DFBC-4D6A-8843-AAD3-6FCD118A1474}"/>
    <hyperlink ref="J33" r:id="rId26" location=":~:text=Chen%20et%20al.,-3&amp;text=demonstrated%20that%20severe%20anemia%20(Hb,%E2%80%934.25%20in%20multiparous%20women)." display="https://pmc.ncbi.nlm.nih.gov/articles/PMC9792651/ - :~:text=Chen%20et%20al.,-3&amp;text=demonstrated%20that%20severe%20anemia%20(Hb,%E2%80%934.25%20in%20multiparous%20women)." xr:uid="{5C84E074-0319-2C4A-8DB6-1DDA32C44D63}"/>
    <hyperlink ref="J32" r:id="rId27" location=":~:text=The%20possible%20explanation%20could%20be,might%20leads%20to%20puerperal%20sepsis." display="https://archpublichealth.biomedcentral.com/articles/10.1186/s13690-021-00732-y - :~:text=The%20possible%20explanation%20could%20be,might%20leads%20to%20puerperal%20sepsis." xr:uid="{63D04182-A5A8-8042-9FA7-813E5671A229}"/>
    <hyperlink ref="J31" r:id="rId28" display="https://www.sciencedirect.com/science/article/pii/S2214109X23002450?fr=RR-2&amp;ref=pdf_download&amp;rr=8d847e0c5c54c9bf" xr:uid="{AB0F23AB-EB9F-D645-8A44-5354A1B26A71}"/>
    <hyperlink ref="J30" r:id="rId29" location=":~:text=After%20adjusting%20for%20potential%20confounders,who%20maintained%20adequate%20ANC%20attendance." display="https://pmc.ncbi.nlm.nih.gov/articles/PMC9554427/ - :~:text=After%20adjusting%20for%20potential%20confounders,who%20maintained%20adequate%20ANC%20attendance." xr:uid="{020AE007-2B35-9E4F-BED3-AF664C89A54E}"/>
    <hyperlink ref="J29" r:id="rId30" display="https://pmc.ncbi.nlm.nih.gov/articles/PMC7769286/" xr:uid="{D46E5BE0-2AE6-8D4E-BB64-5C916F2A9C42}"/>
    <hyperlink ref="J28" r:id="rId31" location=":~:text=Table%201.,women%20in%20their%20third%20trimester.&amp;text=The%20study%20found%20an%20association,%2C%20p%2Dvalue%20=%200.139." display="https://pmc.ncbi.nlm.nih.gov/articles/PMC7769286/ - :~:text=Table%201.,women%20in%20their%20third%20trimester.&amp;text=The%20study%20found%20an%20association,%2C%20p%2Dvalue%20=%200.139." xr:uid="{0A47C910-F7CD-1443-87D8-9DE4DC651D12}"/>
    <hyperlink ref="J27" r:id="rId32" display="https://bmcpregnancychildbirth.biomedcentral.com/counter/pdf/10.1186/s12884-020-03380-2.pdf" xr:uid="{41AE9D45-52C4-8C41-8EAB-15C562EFAED1}"/>
    <hyperlink ref="J38" r:id="rId33" display="https://pmc.ncbi.nlm.nih.gov/articles/PMC9341104/" xr:uid="{F8F7493B-9606-E946-9DB4-AA8381BC65E4}"/>
    <hyperlink ref="J40" r:id="rId34" display="https://www.scirp.org/journal/paperinformation?paperid=49683" xr:uid="{ACB0E6D5-4D4B-5F47-A964-72DAE0431364}"/>
    <hyperlink ref="J41" r:id="rId35" display="https://pmc.ncbi.nlm.nih.gov/articles/PMC6702252/" xr:uid="{40B1022D-B165-914D-8FFE-C418E409DE60}"/>
    <hyperlink ref="J39" r:id="rId36" display="https://pmc.ncbi.nlm.nih.gov/articles/PMC9341104/" xr:uid="{A429F320-7686-C54A-8CEF-3E03DD576849}"/>
    <hyperlink ref="J42" r:id="rId37" display="https://pmc.ncbi.nlm.nih.gov/articles/PMC6702252/" xr:uid="{C681B69F-6F42-7842-B6A2-0D3F4F2F0728}"/>
  </hyperlinks>
  <pageMargins left="0.7" right="0.7" top="0.75" bottom="0.75" header="0.3" footer="0.3"/>
  <tableParts count="1">
    <tablePart r:id="rId3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D687-8ED1-EF4B-8604-866B6D709DBE}">
  <sheetPr>
    <tabColor theme="4"/>
  </sheetPr>
  <dimension ref="A1:M19"/>
  <sheetViews>
    <sheetView showGridLines="0" zoomScale="200" workbookViewId="0">
      <pane ySplit="1" topLeftCell="A15" activePane="bottomLeft" state="frozen"/>
      <selection pane="bottomLeft" activeCell="A20" sqref="A20"/>
    </sheetView>
  </sheetViews>
  <sheetFormatPr defaultColWidth="18.375" defaultRowHeight="15.95"/>
  <cols>
    <col min="1" max="1" width="19.125" bestFit="1" customWidth="1"/>
    <col min="2" max="2" width="8.375" bestFit="1" customWidth="1"/>
    <col min="3" max="3" width="11" bestFit="1" customWidth="1"/>
    <col min="4" max="4" width="11.375" bestFit="1" customWidth="1"/>
    <col min="5" max="5" width="6.125" bestFit="1" customWidth="1"/>
    <col min="6" max="6" width="9.375" bestFit="1" customWidth="1"/>
    <col min="7" max="7" width="11.375" bestFit="1" customWidth="1"/>
    <col min="8" max="8" width="46.875" bestFit="1" customWidth="1"/>
    <col min="10" max="10" width="30.375" style="29" customWidth="1"/>
  </cols>
  <sheetData>
    <row r="1" spans="1:13">
      <c r="A1" s="1" t="s">
        <v>89</v>
      </c>
      <c r="B1" s="1" t="s">
        <v>90</v>
      </c>
      <c r="C1" s="1" t="s">
        <v>91</v>
      </c>
      <c r="D1" s="1" t="s">
        <v>92</v>
      </c>
      <c r="E1" s="1" t="s">
        <v>93</v>
      </c>
      <c r="F1" s="1" t="s">
        <v>94</v>
      </c>
      <c r="G1" s="1" t="s">
        <v>95</v>
      </c>
      <c r="H1" s="1" t="s">
        <v>96</v>
      </c>
      <c r="I1" s="1" t="s">
        <v>97</v>
      </c>
      <c r="J1" s="37" t="s">
        <v>98</v>
      </c>
    </row>
    <row r="2" spans="1:13" ht="17.100000000000001">
      <c r="A2" s="5" t="s">
        <v>222</v>
      </c>
      <c r="B2" s="5">
        <v>0.53</v>
      </c>
      <c r="C2" s="5"/>
      <c r="D2" s="5"/>
      <c r="E2" s="5"/>
      <c r="F2" s="5" t="s">
        <v>223</v>
      </c>
      <c r="G2" s="5" t="s">
        <v>224</v>
      </c>
      <c r="H2" s="5" t="s">
        <v>225</v>
      </c>
      <c r="I2" s="5"/>
      <c r="J2" s="30" t="s">
        <v>226</v>
      </c>
    </row>
    <row r="3" spans="1:13" ht="17.100000000000001">
      <c r="A3" s="5" t="s">
        <v>228</v>
      </c>
      <c r="B3" s="5">
        <v>0.38</v>
      </c>
      <c r="C3" s="5"/>
      <c r="D3" s="5"/>
      <c r="E3" s="5"/>
      <c r="F3" s="5" t="s">
        <v>223</v>
      </c>
      <c r="G3" s="5" t="s">
        <v>224</v>
      </c>
      <c r="H3" s="5" t="s">
        <v>229</v>
      </c>
      <c r="I3" s="5"/>
      <c r="J3" s="30" t="s">
        <v>226</v>
      </c>
    </row>
    <row r="4" spans="1:13" ht="17.100000000000001">
      <c r="A4" s="5" t="s">
        <v>230</v>
      </c>
      <c r="B4" s="5">
        <v>0.28000000000000003</v>
      </c>
      <c r="C4" s="5">
        <v>0.14000000000000001</v>
      </c>
      <c r="D4" s="5">
        <v>0.56000000000000005</v>
      </c>
      <c r="E4" s="5">
        <v>580</v>
      </c>
      <c r="F4" s="5" t="s">
        <v>115</v>
      </c>
      <c r="G4" s="5" t="s">
        <v>224</v>
      </c>
      <c r="H4" s="5" t="s">
        <v>231</v>
      </c>
      <c r="I4" s="5"/>
      <c r="J4" s="30" t="s">
        <v>232</v>
      </c>
    </row>
    <row r="5" spans="1:13" ht="17.100000000000001">
      <c r="A5" s="5" t="s">
        <v>233</v>
      </c>
      <c r="B5" s="5">
        <v>0.24</v>
      </c>
      <c r="C5" s="5">
        <v>0.13</v>
      </c>
      <c r="D5" s="5">
        <v>0.44</v>
      </c>
      <c r="E5" s="5">
        <v>2063</v>
      </c>
      <c r="F5" s="5" t="s">
        <v>178</v>
      </c>
      <c r="G5" s="5" t="s">
        <v>224</v>
      </c>
      <c r="H5" s="5" t="s">
        <v>234</v>
      </c>
      <c r="I5" s="5"/>
      <c r="J5" s="30" t="s">
        <v>235</v>
      </c>
    </row>
    <row r="6" spans="1:13" ht="17.100000000000001">
      <c r="A6" s="5" t="s">
        <v>236</v>
      </c>
      <c r="B6" s="5">
        <v>0.51</v>
      </c>
      <c r="C6" s="5">
        <v>0.44</v>
      </c>
      <c r="D6" s="5">
        <v>0.6</v>
      </c>
      <c r="E6" s="5"/>
      <c r="F6" s="5" t="s">
        <v>178</v>
      </c>
      <c r="G6" s="5" t="s">
        <v>237</v>
      </c>
      <c r="H6" s="5" t="s">
        <v>238</v>
      </c>
      <c r="I6" s="5"/>
      <c r="J6" s="30" t="s">
        <v>239</v>
      </c>
    </row>
    <row r="7" spans="1:13" ht="33.950000000000003">
      <c r="A7" s="5" t="s">
        <v>240</v>
      </c>
      <c r="B7" s="5">
        <v>0.3</v>
      </c>
      <c r="C7" s="5">
        <v>0.20300000000000001</v>
      </c>
      <c r="D7" s="5">
        <v>0.39700000000000002</v>
      </c>
      <c r="E7" s="5">
        <v>86</v>
      </c>
      <c r="F7" s="5" t="s">
        <v>106</v>
      </c>
      <c r="G7" s="5" t="s">
        <v>237</v>
      </c>
      <c r="H7" s="5" t="s">
        <v>241</v>
      </c>
      <c r="I7" s="5"/>
      <c r="J7" s="30" t="s">
        <v>242</v>
      </c>
    </row>
    <row r="8" spans="1:13" ht="17.100000000000001">
      <c r="A8" s="5" t="s">
        <v>243</v>
      </c>
      <c r="B8" s="5">
        <v>0.41</v>
      </c>
      <c r="C8" s="5">
        <v>0.28999999999999998</v>
      </c>
      <c r="D8" s="5">
        <v>0.57999999999999996</v>
      </c>
      <c r="E8" s="5">
        <v>11444</v>
      </c>
      <c r="F8" s="5" t="s">
        <v>178</v>
      </c>
      <c r="G8" s="5" t="s">
        <v>237</v>
      </c>
      <c r="H8" s="5" t="s">
        <v>244</v>
      </c>
      <c r="I8" s="5"/>
      <c r="J8" s="30" t="s">
        <v>245</v>
      </c>
    </row>
    <row r="9" spans="1:13" ht="33.950000000000003">
      <c r="A9" s="5" t="s">
        <v>246</v>
      </c>
      <c r="B9" s="5">
        <v>0.67</v>
      </c>
      <c r="C9" s="5">
        <v>0.56000000000000005</v>
      </c>
      <c r="D9" s="5">
        <v>0.79</v>
      </c>
      <c r="E9" s="5">
        <v>14590</v>
      </c>
      <c r="F9" s="5" t="s">
        <v>178</v>
      </c>
      <c r="G9" s="5" t="s">
        <v>237</v>
      </c>
      <c r="H9" s="5" t="s">
        <v>247</v>
      </c>
      <c r="I9" s="5"/>
      <c r="J9" s="30" t="s">
        <v>248</v>
      </c>
    </row>
    <row r="10" spans="1:13" ht="17.100000000000001">
      <c r="A10" s="5" t="s">
        <v>249</v>
      </c>
      <c r="B10" s="5">
        <v>0.91</v>
      </c>
      <c r="C10" s="5">
        <v>0.82699999999999996</v>
      </c>
      <c r="D10" s="5">
        <v>0.99299999999999999</v>
      </c>
      <c r="E10" s="5">
        <v>46</v>
      </c>
      <c r="F10" s="5" t="s">
        <v>106</v>
      </c>
      <c r="G10" s="5" t="s">
        <v>237</v>
      </c>
      <c r="H10" s="5" t="s">
        <v>250</v>
      </c>
      <c r="I10" s="5"/>
      <c r="J10" s="30" t="s">
        <v>251</v>
      </c>
    </row>
    <row r="11" spans="1:13">
      <c r="A11" s="5" t="s">
        <v>252</v>
      </c>
      <c r="B11" s="5">
        <v>0.89</v>
      </c>
      <c r="C11" s="5"/>
      <c r="D11" s="5"/>
      <c r="E11" s="5"/>
      <c r="F11" s="5"/>
      <c r="G11" s="5" t="s">
        <v>253</v>
      </c>
      <c r="H11" s="5" t="s">
        <v>254</v>
      </c>
      <c r="I11" s="5"/>
      <c r="J11" s="40"/>
      <c r="L11" s="25"/>
      <c r="M11" s="27"/>
    </row>
    <row r="12" spans="1:13">
      <c r="A12" s="5" t="s">
        <v>255</v>
      </c>
      <c r="B12" s="5">
        <v>0.87</v>
      </c>
      <c r="C12" s="5"/>
      <c r="D12" s="5"/>
      <c r="E12" s="5"/>
      <c r="F12" s="6"/>
      <c r="G12" s="5" t="s">
        <v>253</v>
      </c>
      <c r="H12" s="5" t="s">
        <v>256</v>
      </c>
      <c r="I12" s="5"/>
      <c r="J12" s="40"/>
      <c r="L12" s="25"/>
      <c r="M12" s="27"/>
    </row>
    <row r="13" spans="1:13">
      <c r="A13" s="5" t="s">
        <v>257</v>
      </c>
      <c r="B13" s="5">
        <v>1.38</v>
      </c>
      <c r="C13" s="5"/>
      <c r="D13" s="5"/>
      <c r="E13" s="5"/>
      <c r="F13" s="6"/>
      <c r="G13" s="5" t="s">
        <v>253</v>
      </c>
      <c r="H13" s="5" t="s">
        <v>258</v>
      </c>
      <c r="I13" s="5"/>
      <c r="J13" s="40"/>
      <c r="L13" s="25"/>
      <c r="M13" s="27"/>
    </row>
    <row r="14" spans="1:13">
      <c r="A14" s="5" t="s">
        <v>259</v>
      </c>
      <c r="B14" s="5">
        <v>0.95</v>
      </c>
      <c r="C14" s="5"/>
      <c r="D14" s="5"/>
      <c r="E14" s="5"/>
      <c r="F14" s="6"/>
      <c r="G14" s="5" t="s">
        <v>253</v>
      </c>
      <c r="H14" s="5" t="s">
        <v>260</v>
      </c>
      <c r="I14" s="5"/>
      <c r="J14" s="40"/>
      <c r="L14" s="25"/>
      <c r="M14" s="27"/>
    </row>
    <row r="15" spans="1:13">
      <c r="A15" s="5" t="s">
        <v>261</v>
      </c>
      <c r="B15" s="5">
        <v>0.63100000000000001</v>
      </c>
      <c r="C15" s="5"/>
      <c r="D15" s="5"/>
      <c r="E15" s="5"/>
      <c r="F15" s="6"/>
      <c r="G15" s="5" t="s">
        <v>253</v>
      </c>
      <c r="H15" s="5" t="s">
        <v>262</v>
      </c>
      <c r="I15" s="5"/>
      <c r="J15" s="40"/>
      <c r="L15" s="30"/>
      <c r="M15" s="27"/>
    </row>
    <row r="16" spans="1:13">
      <c r="A16" s="5" t="s">
        <v>263</v>
      </c>
      <c r="B16" s="5">
        <v>0.3</v>
      </c>
      <c r="C16" s="5"/>
      <c r="D16" s="5"/>
      <c r="E16" s="5"/>
      <c r="F16" s="6"/>
      <c r="G16" s="5" t="s">
        <v>253</v>
      </c>
      <c r="H16" s="2" t="s">
        <v>264</v>
      </c>
      <c r="I16" s="5"/>
      <c r="J16" s="40"/>
    </row>
    <row r="17" spans="1:10" ht="90.95">
      <c r="A17" s="5" t="s">
        <v>265</v>
      </c>
      <c r="B17" s="5">
        <v>0.84</v>
      </c>
      <c r="C17" s="5">
        <v>0.79800000000000004</v>
      </c>
      <c r="D17" s="5">
        <v>0.89200000000000002</v>
      </c>
      <c r="E17" s="5">
        <v>226</v>
      </c>
      <c r="F17" s="6" t="s">
        <v>106</v>
      </c>
      <c r="G17" s="5" t="s">
        <v>266</v>
      </c>
      <c r="H17" s="40" t="s">
        <v>267</v>
      </c>
      <c r="I17" s="40" t="s">
        <v>268</v>
      </c>
      <c r="J17" s="110" t="s">
        <v>269</v>
      </c>
    </row>
    <row r="18" spans="1:10" ht="105.95">
      <c r="A18" s="5" t="s">
        <v>270</v>
      </c>
      <c r="B18" s="5">
        <v>0.32500000000000001</v>
      </c>
      <c r="C18" s="5">
        <v>0.309</v>
      </c>
      <c r="D18" s="5">
        <v>0.34100000000000003</v>
      </c>
      <c r="E18" s="5">
        <v>3349</v>
      </c>
      <c r="F18" s="6" t="s">
        <v>106</v>
      </c>
      <c r="G18" s="5" t="s">
        <v>266</v>
      </c>
      <c r="H18" s="40" t="s">
        <v>271</v>
      </c>
      <c r="I18" s="40" t="s">
        <v>272</v>
      </c>
      <c r="J18" s="110" t="s">
        <v>273</v>
      </c>
    </row>
    <row r="19" spans="1:10" ht="17.100000000000001">
      <c r="A19" s="5" t="s">
        <v>274</v>
      </c>
      <c r="B19" s="5">
        <v>2.17</v>
      </c>
      <c r="C19" s="5"/>
      <c r="D19" s="5"/>
      <c r="E19" s="5">
        <v>3278</v>
      </c>
      <c r="F19" s="6" t="s">
        <v>115</v>
      </c>
      <c r="G19" s="5" t="s">
        <v>266</v>
      </c>
      <c r="H19" s="5" t="s">
        <v>275</v>
      </c>
      <c r="I19" s="5" t="s">
        <v>276</v>
      </c>
      <c r="J19" s="110" t="s">
        <v>277</v>
      </c>
    </row>
  </sheetData>
  <hyperlinks>
    <hyperlink ref="J2" r:id="rId1" display="https://www.us.elsevierhealth.com/gabbes-obstetrics-normal-and-problem-pregnancies-9780323937276.html?srsltid=AfmBOor--m9cnDEKWOSXRkMMWqRu8A2yF6AfHAR9zH0TLeafVUz9Xy9o" xr:uid="{BAEB5BBE-D248-C442-908D-28B1A266A91C}"/>
    <hyperlink ref="J3" r:id="rId2" display="https://www.us.elsevierhealth.com/gabbes-obstetrics-normal-and-problem-pregnancies-9780323937276.html?srsltid=AfmBOor--m9cnDEKWOSXRkMMWqRu8A2yF6AfHAR9zH0TLeafVUz9Xy9o" xr:uid="{C604E5C4-F968-D044-898E-9565CEBDEE71}"/>
    <hyperlink ref="J4" r:id="rId3" display="https://doi.org/10.1016/j.jpeds.2018.01.056" xr:uid="{545649B0-D4B9-B446-98E3-A593F0C9A0B7}"/>
    <hyperlink ref="J5" r:id="rId4" display="https://doi.org/10.3389/fmicb.2017.00374" xr:uid="{ACCB60A4-25D0-DB4B-B3D6-B0BC04843F5D}"/>
    <hyperlink ref="J6" r:id="rId5" display="https://www.nejm.org/doi/full/10.1056/NEJMoa2303966" xr:uid="{3FBD68FC-83EC-3245-A6D4-141C1D1CEE7E}"/>
    <hyperlink ref="J7" r:id="rId6" location=":~:text=The%20average%20increases%20of%20Hb,about%2070%25%20of%20the%20patients." display="https://pmc.ncbi.nlm.nih.gov/articles/PMC3459362/ - :~:text=The%20average%20increases%20of%20Hb,about%2070%25%20of%20the%20patients." xr:uid="{215CC73C-2F9A-1F4B-92D7-2F47F8CF681E}"/>
    <hyperlink ref="J8" r:id="rId7" display="https://pmc.ncbi.nlm.nih.gov/articles/PMC7061250/" xr:uid="{91D3AFA7-310B-194D-8D61-627322268DA9}"/>
    <hyperlink ref="J9" r:id="rId8" display="https://www.reliasmedia.com/articles/azithromycin-prophylaxis-for-the-prevention-of-maternal-sepsis-or-death-in-women-undergoing-vaginal-delivery?utm_source=chatgpt.com" xr:uid="{0053E39F-3C99-B647-9E3C-28E01D186982}"/>
    <hyperlink ref="J10" r:id="rId9" display="https://journals.lww.com/greenjournal/fulltext/1999/03000/active_phase_labor_arrest__oxytocin_augmentation.1.aspx" xr:uid="{95DA55A8-3665-0443-8DF6-46E72F05C0FC}"/>
    <hyperlink ref="J18" r:id="rId10" xr:uid="{486B8E3E-A8F0-004D-81B7-8349105ABF91}"/>
    <hyperlink ref="J17" r:id="rId11" xr:uid="{2BAF6B78-80AB-284B-8F2D-CE7D157ED031}"/>
    <hyperlink ref="J19" r:id="rId12" xr:uid="{8C8178BA-9EE5-294A-B44D-8A2E07DCD485}"/>
  </hyperlinks>
  <pageMargins left="0.7" right="0.7" top="0.75" bottom="0.75" header="0.3" footer="0.3"/>
  <tableParts count="1">
    <tablePart r:id="rId1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32274-1C9E-A442-AEEA-400AEE5BC3A2}">
  <sheetPr>
    <tabColor theme="4"/>
  </sheetPr>
  <dimension ref="A1:J38"/>
  <sheetViews>
    <sheetView showGridLines="0" workbookViewId="0">
      <pane ySplit="1" topLeftCell="A4" activePane="bottomLeft" state="frozen"/>
      <selection pane="bottomLeft" activeCell="H38" sqref="H38"/>
    </sheetView>
  </sheetViews>
  <sheetFormatPr defaultColWidth="11.125" defaultRowHeight="15.95"/>
  <cols>
    <col min="1" max="1" width="32.125" bestFit="1" customWidth="1"/>
    <col min="2" max="2" width="8.375" bestFit="1" customWidth="1"/>
    <col min="3" max="3" width="9.375" bestFit="1" customWidth="1"/>
    <col min="4" max="4" width="11.375" bestFit="1" customWidth="1"/>
    <col min="5" max="5" width="46.5" bestFit="1" customWidth="1"/>
    <col min="7" max="7" width="44.375" style="29" customWidth="1"/>
  </cols>
  <sheetData>
    <row r="1" spans="1:10">
      <c r="A1" s="1" t="s">
        <v>89</v>
      </c>
      <c r="B1" s="1" t="s">
        <v>90</v>
      </c>
      <c r="C1" s="1" t="s">
        <v>103</v>
      </c>
      <c r="D1" s="1" t="s">
        <v>95</v>
      </c>
      <c r="E1" s="1" t="s">
        <v>96</v>
      </c>
      <c r="F1" s="1" t="s">
        <v>97</v>
      </c>
      <c r="G1" s="37" t="s">
        <v>98</v>
      </c>
      <c r="H1" s="1"/>
      <c r="I1" s="1"/>
      <c r="J1" s="1"/>
    </row>
    <row r="2" spans="1:10">
      <c r="A2" s="5" t="s">
        <v>611</v>
      </c>
      <c r="B2" s="5">
        <v>1.0832999999999999</v>
      </c>
      <c r="C2" s="5"/>
      <c r="D2" s="5" t="s">
        <v>612</v>
      </c>
      <c r="E2" s="5" t="s">
        <v>613</v>
      </c>
      <c r="F2" s="5"/>
      <c r="G2" s="40"/>
      <c r="H2" s="2"/>
      <c r="I2" s="2"/>
      <c r="J2" s="2"/>
    </row>
    <row r="3" spans="1:10">
      <c r="A3" s="5" t="s">
        <v>615</v>
      </c>
      <c r="B3" s="5">
        <v>0.54</v>
      </c>
      <c r="C3" s="5"/>
      <c r="D3" s="5" t="s">
        <v>107</v>
      </c>
      <c r="E3" s="5" t="s">
        <v>616</v>
      </c>
      <c r="F3" s="5"/>
      <c r="G3" s="40"/>
      <c r="H3" s="2"/>
      <c r="I3" s="2"/>
      <c r="J3" s="2"/>
    </row>
    <row r="4" spans="1:10">
      <c r="A4" s="5" t="s">
        <v>617</v>
      </c>
      <c r="B4" s="5">
        <v>0.9</v>
      </c>
      <c r="C4" s="5"/>
      <c r="D4" s="5" t="s">
        <v>612</v>
      </c>
      <c r="E4" s="5" t="s">
        <v>618</v>
      </c>
      <c r="F4" s="5"/>
      <c r="G4" s="40"/>
      <c r="H4" s="2"/>
      <c r="I4" s="2"/>
      <c r="J4" s="2"/>
    </row>
    <row r="5" spans="1:10">
      <c r="A5" s="2" t="s">
        <v>619</v>
      </c>
      <c r="B5" s="2">
        <v>0.19850000000000001</v>
      </c>
      <c r="C5" s="2"/>
      <c r="D5" s="2" t="s">
        <v>107</v>
      </c>
      <c r="E5" s="2" t="s">
        <v>620</v>
      </c>
      <c r="F5" s="5"/>
      <c r="G5" s="40"/>
      <c r="H5" s="2"/>
      <c r="I5" s="2"/>
      <c r="J5" s="2"/>
    </row>
    <row r="6" spans="1:10" ht="30.95">
      <c r="A6" s="5" t="s">
        <v>621</v>
      </c>
      <c r="B6" s="5">
        <v>0.7</v>
      </c>
      <c r="C6" s="5"/>
      <c r="D6" s="5" t="s">
        <v>209</v>
      </c>
      <c r="E6" s="5" t="s">
        <v>622</v>
      </c>
      <c r="F6" s="5"/>
      <c r="G6" s="40" t="s">
        <v>623</v>
      </c>
      <c r="H6" s="2"/>
      <c r="I6" s="2"/>
      <c r="J6" s="2"/>
    </row>
    <row r="7" spans="1:10" ht="30.95">
      <c r="A7" s="5" t="s">
        <v>624</v>
      </c>
      <c r="B7" s="5">
        <v>0.75</v>
      </c>
      <c r="C7" s="5"/>
      <c r="D7" s="5" t="s">
        <v>209</v>
      </c>
      <c r="E7" s="5" t="s">
        <v>625</v>
      </c>
      <c r="F7" s="5"/>
      <c r="G7" s="40" t="s">
        <v>626</v>
      </c>
      <c r="H7" s="2"/>
      <c r="I7" s="2"/>
      <c r="J7" s="2"/>
    </row>
    <row r="8" spans="1:10">
      <c r="A8" s="5" t="s">
        <v>627</v>
      </c>
      <c r="B8" s="5">
        <v>0.95</v>
      </c>
      <c r="C8" s="5"/>
      <c r="D8" s="5" t="s">
        <v>209</v>
      </c>
      <c r="E8" s="5" t="s">
        <v>628</v>
      </c>
      <c r="F8" s="5"/>
      <c r="G8" s="40" t="s">
        <v>629</v>
      </c>
      <c r="H8" s="2"/>
      <c r="I8" s="2"/>
      <c r="J8" s="2"/>
    </row>
    <row r="9" spans="1:10">
      <c r="A9" s="5" t="s">
        <v>630</v>
      </c>
      <c r="B9" s="5">
        <v>0.55000000000000004</v>
      </c>
      <c r="C9" s="5"/>
      <c r="D9" s="5" t="s">
        <v>631</v>
      </c>
      <c r="E9" s="5" t="s">
        <v>632</v>
      </c>
      <c r="F9" s="5"/>
      <c r="G9" s="25" t="s">
        <v>633</v>
      </c>
      <c r="H9" s="2"/>
      <c r="I9" s="2"/>
      <c r="J9" s="2"/>
    </row>
    <row r="10" spans="1:10">
      <c r="A10" s="5" t="s">
        <v>634</v>
      </c>
      <c r="B10" s="5">
        <v>0.27</v>
      </c>
      <c r="C10" s="5"/>
      <c r="D10" s="5" t="s">
        <v>635</v>
      </c>
      <c r="E10" s="5" t="s">
        <v>636</v>
      </c>
      <c r="F10" s="5"/>
      <c r="G10" s="40" t="s">
        <v>637</v>
      </c>
      <c r="H10" s="2"/>
      <c r="I10" s="2"/>
    </row>
    <row r="11" spans="1:10">
      <c r="A11" s="5" t="s">
        <v>638</v>
      </c>
      <c r="B11" s="5">
        <v>0.23899999999999999</v>
      </c>
      <c r="C11" s="5"/>
      <c r="D11" s="5" t="s">
        <v>635</v>
      </c>
      <c r="E11" s="5" t="s">
        <v>639</v>
      </c>
      <c r="F11" s="5"/>
      <c r="G11" s="25" t="s">
        <v>640</v>
      </c>
    </row>
    <row r="12" spans="1:10">
      <c r="A12" s="5" t="s">
        <v>641</v>
      </c>
      <c r="B12" s="5">
        <v>0.11</v>
      </c>
      <c r="C12" s="5"/>
      <c r="D12" s="5" t="s">
        <v>635</v>
      </c>
      <c r="E12" s="5" t="s">
        <v>642</v>
      </c>
      <c r="F12" s="5"/>
      <c r="G12" s="25" t="s">
        <v>643</v>
      </c>
    </row>
    <row r="13" spans="1:10">
      <c r="A13" s="5" t="s">
        <v>644</v>
      </c>
      <c r="B13" s="5">
        <v>0.21199999999999999</v>
      </c>
      <c r="C13" s="5"/>
      <c r="D13" s="5" t="s">
        <v>635</v>
      </c>
      <c r="E13" s="5" t="s">
        <v>645</v>
      </c>
      <c r="F13" s="5"/>
      <c r="G13" s="25" t="s">
        <v>646</v>
      </c>
    </row>
    <row r="14" spans="1:10">
      <c r="A14" s="5" t="s">
        <v>647</v>
      </c>
      <c r="B14" s="5">
        <v>0.32500000000000001</v>
      </c>
      <c r="C14" s="5"/>
      <c r="D14" s="5" t="s">
        <v>635</v>
      </c>
      <c r="E14" s="5" t="s">
        <v>648</v>
      </c>
      <c r="F14" s="5"/>
      <c r="G14" s="25" t="s">
        <v>649</v>
      </c>
    </row>
    <row r="15" spans="1:10" ht="45.95">
      <c r="A15" s="5" t="s">
        <v>650</v>
      </c>
      <c r="B15" s="5">
        <v>4.4800000000000004</v>
      </c>
      <c r="C15" s="5"/>
      <c r="D15" s="5" t="s">
        <v>651</v>
      </c>
      <c r="E15" s="5" t="s">
        <v>652</v>
      </c>
      <c r="F15" s="5"/>
      <c r="G15" s="40" t="s">
        <v>653</v>
      </c>
    </row>
    <row r="16" spans="1:10">
      <c r="A16" s="5" t="s">
        <v>654</v>
      </c>
      <c r="B16" s="5">
        <v>16.600000000000001</v>
      </c>
      <c r="C16" s="5"/>
      <c r="D16" s="5" t="s">
        <v>655</v>
      </c>
      <c r="E16" s="5" t="s">
        <v>656</v>
      </c>
      <c r="F16" s="5"/>
      <c r="G16" s="40" t="s">
        <v>657</v>
      </c>
    </row>
    <row r="17" spans="1:7">
      <c r="A17" s="5" t="s">
        <v>658</v>
      </c>
      <c r="B17" s="5">
        <v>44.7</v>
      </c>
      <c r="C17" s="5"/>
      <c r="D17" s="5" t="s">
        <v>655</v>
      </c>
      <c r="E17" s="5" t="s">
        <v>659</v>
      </c>
      <c r="F17" s="5"/>
      <c r="G17" s="40" t="s">
        <v>657</v>
      </c>
    </row>
    <row r="18" spans="1:7">
      <c r="A18" s="5" t="s">
        <v>660</v>
      </c>
      <c r="B18" s="5">
        <v>69.2</v>
      </c>
      <c r="C18" s="5" t="s">
        <v>664</v>
      </c>
      <c r="D18" s="5" t="s">
        <v>661</v>
      </c>
      <c r="E18" s="5" t="s">
        <v>662</v>
      </c>
      <c r="F18" s="5"/>
      <c r="G18" s="25" t="s">
        <v>663</v>
      </c>
    </row>
    <row r="19" spans="1:7">
      <c r="A19" s="5" t="s">
        <v>665</v>
      </c>
      <c r="B19" s="5">
        <v>66.8</v>
      </c>
      <c r="C19" s="5" t="s">
        <v>664</v>
      </c>
      <c r="D19" s="5" t="s">
        <v>661</v>
      </c>
      <c r="E19" s="5" t="s">
        <v>666</v>
      </c>
      <c r="F19" s="5"/>
      <c r="G19" s="25" t="s">
        <v>663</v>
      </c>
    </row>
    <row r="20" spans="1:7">
      <c r="A20" s="5" t="s">
        <v>667</v>
      </c>
      <c r="B20" s="5">
        <v>28.6</v>
      </c>
      <c r="C20" s="5" t="s">
        <v>664</v>
      </c>
      <c r="D20" s="5" t="s">
        <v>661</v>
      </c>
      <c r="E20" s="5" t="s">
        <v>668</v>
      </c>
      <c r="F20" s="5"/>
      <c r="G20" s="25" t="s">
        <v>669</v>
      </c>
    </row>
    <row r="21" spans="1:7">
      <c r="A21" s="5" t="s">
        <v>670</v>
      </c>
      <c r="B21" s="5">
        <v>174.09</v>
      </c>
      <c r="C21" s="5" t="s">
        <v>674</v>
      </c>
      <c r="D21" s="5" t="s">
        <v>671</v>
      </c>
      <c r="E21" s="5" t="s">
        <v>672</v>
      </c>
      <c r="F21" s="5"/>
      <c r="G21" s="25" t="s">
        <v>673</v>
      </c>
    </row>
    <row r="22" spans="1:7">
      <c r="A22" s="5" t="s">
        <v>675</v>
      </c>
      <c r="B22" s="5">
        <v>167</v>
      </c>
      <c r="C22" s="5"/>
      <c r="D22" s="5" t="s">
        <v>671</v>
      </c>
      <c r="E22" s="5" t="s">
        <v>676</v>
      </c>
      <c r="F22" s="5"/>
      <c r="G22" s="25" t="s">
        <v>677</v>
      </c>
    </row>
    <row r="23" spans="1:7">
      <c r="A23" s="5" t="s">
        <v>678</v>
      </c>
      <c r="B23" s="5">
        <v>6</v>
      </c>
      <c r="C23" s="5"/>
      <c r="D23" s="5" t="s">
        <v>671</v>
      </c>
      <c r="E23" s="5" t="s">
        <v>679</v>
      </c>
      <c r="F23" s="5"/>
      <c r="G23" s="25" t="s">
        <v>677</v>
      </c>
    </row>
    <row r="24" spans="1:7">
      <c r="A24" s="5" t="s">
        <v>680</v>
      </c>
      <c r="B24" s="5">
        <v>3.5999999999999997E-2</v>
      </c>
      <c r="C24" s="5"/>
      <c r="D24" s="5" t="s">
        <v>671</v>
      </c>
      <c r="E24" s="5" t="s">
        <v>681</v>
      </c>
      <c r="F24" s="5"/>
      <c r="G24" s="25" t="s">
        <v>677</v>
      </c>
    </row>
    <row r="25" spans="1:7">
      <c r="A25" s="5" t="s">
        <v>682</v>
      </c>
      <c r="B25" s="5">
        <v>0.1852</v>
      </c>
      <c r="C25" s="5"/>
      <c r="D25" s="5" t="s">
        <v>671</v>
      </c>
      <c r="E25" s="5" t="s">
        <v>683</v>
      </c>
      <c r="F25" s="5"/>
      <c r="G25" s="25" t="s">
        <v>406</v>
      </c>
    </row>
    <row r="26" spans="1:7">
      <c r="A26" s="5" t="s">
        <v>684</v>
      </c>
      <c r="B26" s="5">
        <v>4.3499999999999997E-2</v>
      </c>
      <c r="C26" s="5"/>
      <c r="D26" s="5" t="s">
        <v>671</v>
      </c>
      <c r="E26" s="5" t="s">
        <v>685</v>
      </c>
      <c r="F26" s="5"/>
      <c r="G26" s="25" t="s">
        <v>406</v>
      </c>
    </row>
    <row r="27" spans="1:7" ht="30.95">
      <c r="A27" s="5" t="s">
        <v>686</v>
      </c>
      <c r="B27" s="5">
        <v>10</v>
      </c>
      <c r="C27" s="5"/>
      <c r="D27" s="5" t="s">
        <v>671</v>
      </c>
      <c r="E27" s="5" t="s">
        <v>687</v>
      </c>
      <c r="F27" s="5"/>
      <c r="G27" s="40" t="s">
        <v>688</v>
      </c>
    </row>
    <row r="28" spans="1:7" ht="30.95">
      <c r="A28" s="5" t="s">
        <v>689</v>
      </c>
      <c r="B28" s="5">
        <v>6</v>
      </c>
      <c r="C28" s="5"/>
      <c r="D28" s="5" t="s">
        <v>671</v>
      </c>
      <c r="E28" s="5" t="s">
        <v>690</v>
      </c>
      <c r="F28" s="5"/>
      <c r="G28" s="40" t="s">
        <v>691</v>
      </c>
    </row>
    <row r="29" spans="1:7">
      <c r="A29" s="5" t="s">
        <v>692</v>
      </c>
      <c r="B29" s="5">
        <v>10</v>
      </c>
      <c r="C29" s="5" t="s">
        <v>695</v>
      </c>
      <c r="D29" s="5" t="s">
        <v>209</v>
      </c>
      <c r="E29" s="5" t="s">
        <v>693</v>
      </c>
      <c r="F29" s="5"/>
      <c r="G29" s="25" t="s">
        <v>694</v>
      </c>
    </row>
    <row r="30" spans="1:7">
      <c r="A30" s="5" t="s">
        <v>696</v>
      </c>
      <c r="B30" s="5">
        <v>30</v>
      </c>
      <c r="C30" s="5" t="s">
        <v>695</v>
      </c>
      <c r="D30" s="5" t="s">
        <v>209</v>
      </c>
      <c r="E30" s="5" t="s">
        <v>697</v>
      </c>
      <c r="F30" s="5"/>
      <c r="G30" s="25" t="s">
        <v>698</v>
      </c>
    </row>
    <row r="31" spans="1:7">
      <c r="A31" s="5" t="s">
        <v>699</v>
      </c>
      <c r="B31" s="5">
        <v>15</v>
      </c>
      <c r="C31" s="5" t="s">
        <v>695</v>
      </c>
      <c r="D31" s="5" t="s">
        <v>209</v>
      </c>
      <c r="E31" s="5" t="s">
        <v>700</v>
      </c>
      <c r="F31" s="5"/>
      <c r="G31" s="25" t="s">
        <v>698</v>
      </c>
    </row>
    <row r="32" spans="1:7">
      <c r="A32" s="5" t="s">
        <v>701</v>
      </c>
      <c r="B32" s="5">
        <v>1200</v>
      </c>
      <c r="C32" s="5" t="s">
        <v>695</v>
      </c>
      <c r="D32" s="5" t="s">
        <v>209</v>
      </c>
      <c r="E32" s="5" t="s">
        <v>702</v>
      </c>
      <c r="F32" s="5" t="s">
        <v>703</v>
      </c>
      <c r="G32" s="40"/>
    </row>
    <row r="33" spans="1:7">
      <c r="A33" s="5" t="s">
        <v>704</v>
      </c>
      <c r="B33" s="5">
        <v>129.5</v>
      </c>
      <c r="C33" s="5"/>
      <c r="D33" s="5" t="s">
        <v>705</v>
      </c>
      <c r="E33" s="5" t="s">
        <v>706</v>
      </c>
      <c r="F33" s="5"/>
      <c r="G33" s="40"/>
    </row>
    <row r="34" spans="1:7" ht="30.95">
      <c r="A34" s="5" t="s">
        <v>707</v>
      </c>
      <c r="B34" s="5">
        <v>57</v>
      </c>
      <c r="C34" s="5" t="s">
        <v>711</v>
      </c>
      <c r="D34" s="5" t="s">
        <v>708</v>
      </c>
      <c r="E34" s="5" t="s">
        <v>709</v>
      </c>
      <c r="F34" s="5"/>
      <c r="G34" s="40" t="s">
        <v>710</v>
      </c>
    </row>
    <row r="35" spans="1:7">
      <c r="A35" s="2"/>
      <c r="B35" s="2"/>
      <c r="C35" s="2"/>
      <c r="D35" s="2"/>
      <c r="E35" s="2"/>
    </row>
    <row r="36" spans="1:7">
      <c r="A36" s="2"/>
      <c r="B36" s="2"/>
      <c r="C36" s="2"/>
      <c r="D36" s="2"/>
      <c r="E36" s="2"/>
    </row>
    <row r="37" spans="1:7">
      <c r="A37" s="2"/>
      <c r="B37" s="2"/>
      <c r="C37" s="2"/>
      <c r="D37" s="2"/>
      <c r="E37" s="2"/>
    </row>
    <row r="38" spans="1:7">
      <c r="A38" s="2"/>
      <c r="B38" s="2"/>
      <c r="C38" s="2"/>
      <c r="D38" s="2"/>
      <c r="E38" s="2"/>
    </row>
  </sheetData>
  <hyperlinks>
    <hyperlink ref="G18" r:id="rId1" display="https://data.who.int/countries/404" xr:uid="{4C2564FE-8344-4542-A227-B017487DD265}"/>
    <hyperlink ref="G19" r:id="rId2" display="https://data.who.int/countries/404" xr:uid="{5CDAE479-FB77-DC48-97D4-ABACDBE3EFEF}"/>
    <hyperlink ref="G20" r:id="rId3" location=":~:text=As%20of%202021%2C%20the%20mean,in%20Kenya%20was%2029%20years." display="https://www.statista.com/statistics/1281232/mean-age-of-childbearing-in-kenya/ - :~:text=As%20of%202021%2C%20the%20mean,in%20Kenya%20was%2029%20years." xr:uid="{60AB7174-03C4-2B4A-8A73-6D25288D5682}"/>
    <hyperlink ref="G21" r:id="rId4" display="https://doi.org/10.1007/s11205-022-02910-z" xr:uid="{9C47E4F9-21CB-EA46-9CEE-D97261FB9D9A}"/>
    <hyperlink ref="G22" r:id="rId5" display="https://obgyn.onlinelibrary.wiley.com/doi/10.1002/ijgo.12815" xr:uid="{C0BB4EA7-447E-0343-93A8-6AA1F92851D0}"/>
    <hyperlink ref="G23" r:id="rId6" display="https://obgyn.onlinelibrary.wiley.com/doi/10.1002/ijgo.12815" xr:uid="{E3B25ED9-4083-504B-AF2C-4FE19C814BC5}"/>
    <hyperlink ref="G24" r:id="rId7" display="https://obgyn.onlinelibrary.wiley.com/doi/10.1002/ijgo.12815" xr:uid="{A06CE4C1-7FAE-5E48-AD27-0FDDAC29A1DF}"/>
    <hyperlink ref="G25" r:id="rId8" display="https://dash.harvard.edu/handle/1/42676027" xr:uid="{DC651CEE-52C9-8944-B63D-130680F8015A}"/>
    <hyperlink ref="G26" r:id="rId9" display="https://dash.harvard.edu/handle/1/42676027" xr:uid="{94ABB072-7724-4046-B8E3-188DC483592D}"/>
    <hyperlink ref="G29" r:id="rId10" display="https://stat-technologies.com/product/summit-doppler-hand-held-doppler/" xr:uid="{C88B5EC4-7DE6-9340-8161-94D97DA6BBB0}"/>
    <hyperlink ref="G30" r:id="rId11" display="https://www.merckmanuals.com/professional/gynecology-and-obstetrics/labor-and-delivery/fetal-monitoring-during-labor-and-delivery" xr:uid="{1510F603-3264-FA43-A781-5FF71EAAA335}"/>
    <hyperlink ref="G31" r:id="rId12" display="https://www.merckmanuals.com/professional/gynecology-and-obstetrics/labor-and-delivery/fetal-monitoring-during-labor-and-delivery" xr:uid="{09990C74-932E-554C-A274-64F56EF71CA1}"/>
    <hyperlink ref="G14" r:id="rId13" display="https://publications.aap.org/pediatrics/article/148/4/e2021052456/183300/Early-Onset-Sepsis-Among-Very-Preterm-Infants?autologincheck=redirected" xr:uid="{B5ACE304-DA02-2242-887A-6EF9CA8B80D9}"/>
    <hyperlink ref="G13" r:id="rId14" display="https://pubmed.ncbi.nlm.nih.gov/21593813/" xr:uid="{27E72E63-5B02-E246-8252-B33A2F859E38}"/>
    <hyperlink ref="G12" r:id="rId15" display="https://pubmed.ncbi.nlm.nih.gov/26030329/" xr:uid="{DDAC1C51-E1EF-6245-B870-E8E8830E4CF5}"/>
    <hyperlink ref="G11" r:id="rId16" display="https://www.researchgate.net/profile/Olusegun-Adebami/publication/301893054_Maternal_and_fetal_determinants_of_mortality_in_babies_with_birth_asphyxia_at_Osogbo_Southwestern_Nigeria/links/572bcaf608aef7c7e2c6b8e8/Maternal-and-fetal-determinants-of-mortality-in-babies-with-birth-asphyxia-at-Osogbo-Southwestern-Nigeria.pdf" xr:uid="{4F2301D8-4C82-C644-BF2B-65DFD529DA27}"/>
    <hyperlink ref="G9" r:id="rId17" display="https://listvisualizer.org/" xr:uid="{784B6178-5232-F44B-95DD-2EC2E0753A62}"/>
  </hyperlinks>
  <pageMargins left="0.7" right="0.7" top="0.75" bottom="0.75" header="0.3" footer="0.3"/>
  <tableParts count="1">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4261B-84E8-D64A-B922-BE287B76D26D}">
  <sheetPr>
    <tabColor theme="4"/>
  </sheetPr>
  <dimension ref="A1:H27"/>
  <sheetViews>
    <sheetView showGridLines="0" workbookViewId="0">
      <pane ySplit="1" topLeftCell="A2" activePane="bottomLeft" state="frozen"/>
      <selection pane="bottomLeft" activeCell="F8" sqref="F8"/>
    </sheetView>
  </sheetViews>
  <sheetFormatPr defaultColWidth="14" defaultRowHeight="15.95"/>
  <cols>
    <col min="1" max="1" width="22.5" bestFit="1" customWidth="1"/>
    <col min="2" max="2" width="9.125" bestFit="1" customWidth="1"/>
    <col min="3" max="3" width="11.375" bestFit="1" customWidth="1"/>
    <col min="4" max="4" width="11.125" bestFit="1" customWidth="1"/>
    <col min="5" max="5" width="11.375" bestFit="1" customWidth="1"/>
    <col min="6" max="6" width="43.125" bestFit="1" customWidth="1"/>
  </cols>
  <sheetData>
    <row r="1" spans="1:8">
      <c r="A1" s="1" t="s">
        <v>1011</v>
      </c>
      <c r="B1" s="1" t="s">
        <v>90</v>
      </c>
      <c r="C1" s="1" t="s">
        <v>1012</v>
      </c>
      <c r="D1" s="1" t="s">
        <v>103</v>
      </c>
      <c r="E1" s="1" t="s">
        <v>95</v>
      </c>
      <c r="F1" s="1" t="s">
        <v>96</v>
      </c>
      <c r="G1" s="1" t="s">
        <v>97</v>
      </c>
      <c r="H1" s="1" t="s">
        <v>98</v>
      </c>
    </row>
    <row r="2" spans="1:8">
      <c r="A2" s="5" t="s">
        <v>712</v>
      </c>
      <c r="B2" s="5">
        <v>1605.29</v>
      </c>
      <c r="C2" s="5" t="s">
        <v>1046</v>
      </c>
      <c r="D2" s="5" t="s">
        <v>1047</v>
      </c>
      <c r="E2" s="5" t="s">
        <v>713</v>
      </c>
      <c r="F2" s="5" t="s">
        <v>714</v>
      </c>
      <c r="G2" s="5"/>
      <c r="H2" s="5"/>
    </row>
    <row r="3" spans="1:8">
      <c r="A3" s="5" t="s">
        <v>717</v>
      </c>
      <c r="B3" s="5">
        <v>2843.5</v>
      </c>
      <c r="C3" s="5" t="s">
        <v>1046</v>
      </c>
      <c r="D3" s="5" t="s">
        <v>1048</v>
      </c>
      <c r="E3" s="5" t="s">
        <v>713</v>
      </c>
      <c r="F3" s="5" t="s">
        <v>718</v>
      </c>
      <c r="G3" s="5"/>
      <c r="H3" s="5"/>
    </row>
    <row r="4" spans="1:8">
      <c r="A4" s="5" t="s">
        <v>720</v>
      </c>
      <c r="B4" s="5">
        <v>1680.25</v>
      </c>
      <c r="C4" s="5" t="s">
        <v>1046</v>
      </c>
      <c r="D4" s="5" t="s">
        <v>1048</v>
      </c>
      <c r="E4" s="5" t="s">
        <v>713</v>
      </c>
      <c r="F4" s="5" t="s">
        <v>721</v>
      </c>
      <c r="G4" s="5"/>
      <c r="H4" s="5"/>
    </row>
    <row r="5" spans="1:8">
      <c r="A5" s="5" t="s">
        <v>722</v>
      </c>
      <c r="B5" s="5">
        <v>125.37</v>
      </c>
      <c r="C5" s="5" t="s">
        <v>1046</v>
      </c>
      <c r="D5" s="5" t="s">
        <v>1048</v>
      </c>
      <c r="E5" s="5" t="s">
        <v>713</v>
      </c>
      <c r="F5" s="5" t="s">
        <v>723</v>
      </c>
      <c r="G5" s="5"/>
      <c r="H5" s="5"/>
    </row>
    <row r="6" spans="1:8">
      <c r="A6" s="5" t="s">
        <v>724</v>
      </c>
      <c r="B6" s="5">
        <v>647500</v>
      </c>
      <c r="C6" s="5" t="s">
        <v>1046</v>
      </c>
      <c r="D6" s="5" t="s">
        <v>1049</v>
      </c>
      <c r="E6" s="5" t="s">
        <v>725</v>
      </c>
      <c r="F6" s="5" t="s">
        <v>726</v>
      </c>
      <c r="G6" s="5"/>
      <c r="H6" s="5"/>
    </row>
    <row r="7" spans="1:8">
      <c r="A7" s="5" t="s">
        <v>728</v>
      </c>
      <c r="B7" s="5">
        <v>4000</v>
      </c>
      <c r="C7" s="5" t="s">
        <v>1046</v>
      </c>
      <c r="D7" s="5" t="s">
        <v>1049</v>
      </c>
      <c r="E7" s="5" t="s">
        <v>725</v>
      </c>
      <c r="F7" s="5" t="s">
        <v>729</v>
      </c>
      <c r="G7" s="5"/>
      <c r="H7" s="5"/>
    </row>
    <row r="8" spans="1:8">
      <c r="A8" s="5" t="s">
        <v>730</v>
      </c>
      <c r="B8" s="5">
        <v>657900</v>
      </c>
      <c r="C8" s="5" t="s">
        <v>1046</v>
      </c>
      <c r="D8" s="5" t="s">
        <v>1049</v>
      </c>
      <c r="E8" s="5" t="s">
        <v>725</v>
      </c>
      <c r="F8" s="5" t="s">
        <v>731</v>
      </c>
      <c r="G8" s="5"/>
      <c r="H8" s="5"/>
    </row>
    <row r="9" spans="1:8">
      <c r="A9" s="5" t="s">
        <v>732</v>
      </c>
      <c r="B9" s="5">
        <v>40207381</v>
      </c>
      <c r="C9" s="5" t="s">
        <v>1046</v>
      </c>
      <c r="D9" s="5" t="s">
        <v>223</v>
      </c>
      <c r="E9" s="5" t="s">
        <v>733</v>
      </c>
      <c r="F9" s="5" t="s">
        <v>734</v>
      </c>
      <c r="G9" s="5"/>
      <c r="H9" s="5"/>
    </row>
    <row r="10" spans="1:8">
      <c r="A10" s="5" t="s">
        <v>736</v>
      </c>
      <c r="B10" s="5">
        <v>5693559</v>
      </c>
      <c r="C10" s="5" t="s">
        <v>1046</v>
      </c>
      <c r="D10" s="5" t="s">
        <v>1050</v>
      </c>
      <c r="E10" s="5" t="s">
        <v>733</v>
      </c>
      <c r="F10" s="5" t="s">
        <v>737</v>
      </c>
      <c r="G10" s="5"/>
      <c r="H10" s="5"/>
    </row>
    <row r="11" spans="1:8">
      <c r="A11" s="5" t="s">
        <v>739</v>
      </c>
      <c r="B11" s="5">
        <v>4556971</v>
      </c>
      <c r="C11" s="5" t="s">
        <v>1046</v>
      </c>
      <c r="D11" s="5" t="s">
        <v>1050</v>
      </c>
      <c r="E11" s="5" t="s">
        <v>733</v>
      </c>
      <c r="F11" s="5" t="s">
        <v>740</v>
      </c>
      <c r="G11" s="5"/>
      <c r="H11" s="5"/>
    </row>
    <row r="12" spans="1:8">
      <c r="A12" s="5" t="s">
        <v>741</v>
      </c>
      <c r="B12" s="5">
        <v>5693559</v>
      </c>
      <c r="C12" s="5" t="s">
        <v>1046</v>
      </c>
      <c r="D12" s="5" t="s">
        <v>1050</v>
      </c>
      <c r="E12" s="5" t="s">
        <v>733</v>
      </c>
      <c r="F12" s="5" t="s">
        <v>742</v>
      </c>
      <c r="G12" s="5"/>
      <c r="H12" s="5"/>
    </row>
    <row r="13" spans="1:8">
      <c r="A13" s="5" t="s">
        <v>743</v>
      </c>
      <c r="B13" s="5">
        <v>6833850</v>
      </c>
      <c r="C13" s="5" t="s">
        <v>1046</v>
      </c>
      <c r="D13" s="5" t="s">
        <v>1050</v>
      </c>
      <c r="E13" s="5" t="s">
        <v>733</v>
      </c>
      <c r="F13" s="5" t="s">
        <v>744</v>
      </c>
      <c r="G13" s="5"/>
      <c r="H13" s="5"/>
    </row>
    <row r="14" spans="1:8">
      <c r="A14" s="5" t="s">
        <v>745</v>
      </c>
      <c r="B14" s="5">
        <v>2257329</v>
      </c>
      <c r="C14" s="5" t="s">
        <v>1046</v>
      </c>
      <c r="D14" s="5" t="s">
        <v>1051</v>
      </c>
      <c r="E14" s="5" t="s">
        <v>733</v>
      </c>
      <c r="F14" s="5" t="s">
        <v>746</v>
      </c>
      <c r="G14" s="5"/>
      <c r="H14" s="5"/>
    </row>
    <row r="15" spans="1:8">
      <c r="A15" s="5" t="s">
        <v>748</v>
      </c>
      <c r="B15" s="5">
        <v>11359478</v>
      </c>
      <c r="C15" s="5" t="s">
        <v>1046</v>
      </c>
      <c r="D15" s="5" t="s">
        <v>223</v>
      </c>
      <c r="E15" s="5" t="s">
        <v>733</v>
      </c>
      <c r="F15" s="5" t="s">
        <v>749</v>
      </c>
      <c r="G15" s="5"/>
      <c r="H15" s="5"/>
    </row>
    <row r="16" spans="1:8">
      <c r="A16" s="5" t="s">
        <v>750</v>
      </c>
      <c r="B16" s="5">
        <v>19000</v>
      </c>
      <c r="C16" s="5" t="s">
        <v>1046</v>
      </c>
      <c r="D16" s="5" t="s">
        <v>1052</v>
      </c>
      <c r="E16" s="5" t="s">
        <v>708</v>
      </c>
      <c r="F16" s="5" t="s">
        <v>751</v>
      </c>
      <c r="G16" s="5"/>
      <c r="H16" s="5"/>
    </row>
    <row r="17" spans="1:8">
      <c r="A17" s="5" t="s">
        <v>753</v>
      </c>
      <c r="B17" s="5">
        <v>250</v>
      </c>
      <c r="C17" s="5" t="s">
        <v>1046</v>
      </c>
      <c r="D17" s="5" t="s">
        <v>711</v>
      </c>
      <c r="E17" s="5" t="s">
        <v>708</v>
      </c>
      <c r="F17" s="5" t="s">
        <v>754</v>
      </c>
      <c r="G17" s="5"/>
      <c r="H17" s="5"/>
    </row>
    <row r="18" spans="1:8">
      <c r="A18" s="5" t="s">
        <v>756</v>
      </c>
      <c r="B18" s="5">
        <v>5500</v>
      </c>
      <c r="C18" s="5" t="s">
        <v>1046</v>
      </c>
      <c r="D18" s="5" t="s">
        <v>1053</v>
      </c>
      <c r="E18" s="5" t="s">
        <v>708</v>
      </c>
      <c r="F18" s="5" t="s">
        <v>757</v>
      </c>
      <c r="G18" s="5"/>
      <c r="H18" s="5"/>
    </row>
    <row r="19" spans="1:8">
      <c r="A19" s="5" t="s">
        <v>759</v>
      </c>
      <c r="B19" s="5">
        <v>130500</v>
      </c>
      <c r="C19" s="5" t="s">
        <v>1046</v>
      </c>
      <c r="D19" s="5" t="s">
        <v>1052</v>
      </c>
      <c r="E19" s="5" t="s">
        <v>708</v>
      </c>
      <c r="F19" s="5" t="s">
        <v>760</v>
      </c>
      <c r="G19" s="5"/>
      <c r="H19" s="5"/>
    </row>
    <row r="20" spans="1:8">
      <c r="A20" s="5" t="s">
        <v>761</v>
      </c>
      <c r="B20" s="5">
        <v>2250</v>
      </c>
      <c r="C20" s="5" t="s">
        <v>1046</v>
      </c>
      <c r="D20" s="5" t="s">
        <v>711</v>
      </c>
      <c r="E20" s="5" t="s">
        <v>708</v>
      </c>
      <c r="F20" s="5" t="s">
        <v>762</v>
      </c>
      <c r="G20" s="5"/>
      <c r="H20" s="5"/>
    </row>
    <row r="21" spans="1:8">
      <c r="A21" s="5" t="s">
        <v>763</v>
      </c>
      <c r="B21" s="5">
        <v>8500</v>
      </c>
      <c r="C21" s="5" t="s">
        <v>1046</v>
      </c>
      <c r="D21" s="5" t="s">
        <v>1053</v>
      </c>
      <c r="E21" s="5" t="s">
        <v>708</v>
      </c>
      <c r="F21" s="5" t="s">
        <v>764</v>
      </c>
      <c r="G21" s="5"/>
      <c r="H21" s="5"/>
    </row>
    <row r="22" spans="1:8">
      <c r="A22" s="5" t="s">
        <v>765</v>
      </c>
      <c r="B22" s="5">
        <v>312</v>
      </c>
      <c r="C22" s="5" t="s">
        <v>1046</v>
      </c>
      <c r="D22" s="5" t="s">
        <v>1048</v>
      </c>
      <c r="E22" s="5" t="s">
        <v>766</v>
      </c>
      <c r="F22" s="5" t="s">
        <v>767</v>
      </c>
      <c r="G22" s="5"/>
      <c r="H22" s="5"/>
    </row>
    <row r="23" spans="1:8">
      <c r="A23" s="5" t="s">
        <v>768</v>
      </c>
      <c r="B23" s="5">
        <v>6148</v>
      </c>
      <c r="C23" s="5" t="s">
        <v>1046</v>
      </c>
      <c r="D23" s="5" t="s">
        <v>1048</v>
      </c>
      <c r="E23" s="5" t="s">
        <v>766</v>
      </c>
      <c r="F23" s="5" t="s">
        <v>769</v>
      </c>
      <c r="G23" s="5"/>
      <c r="H23" s="5"/>
    </row>
    <row r="24" spans="1:8">
      <c r="A24" s="5" t="s">
        <v>770</v>
      </c>
      <c r="B24" s="5">
        <v>29804</v>
      </c>
      <c r="C24" s="5" t="s">
        <v>1046</v>
      </c>
      <c r="D24" s="5" t="s">
        <v>1048</v>
      </c>
      <c r="E24" s="5" t="s">
        <v>766</v>
      </c>
      <c r="F24" s="5" t="s">
        <v>771</v>
      </c>
      <c r="G24" s="5"/>
      <c r="H24" s="5"/>
    </row>
    <row r="25" spans="1:8">
      <c r="A25" s="5" t="s">
        <v>772</v>
      </c>
      <c r="B25" s="5">
        <v>9958</v>
      </c>
      <c r="C25" s="5" t="s">
        <v>1046</v>
      </c>
      <c r="D25" s="5" t="s">
        <v>711</v>
      </c>
      <c r="E25" s="5" t="s">
        <v>773</v>
      </c>
      <c r="F25" s="5" t="s">
        <v>774</v>
      </c>
      <c r="G25" s="5"/>
      <c r="H25" s="5"/>
    </row>
    <row r="26" spans="1:8">
      <c r="A26" s="5" t="s">
        <v>775</v>
      </c>
      <c r="B26" s="5">
        <v>4380</v>
      </c>
      <c r="C26" s="5" t="s">
        <v>1046</v>
      </c>
      <c r="D26" s="5" t="s">
        <v>711</v>
      </c>
      <c r="E26" s="5" t="s">
        <v>773</v>
      </c>
      <c r="F26" s="5" t="s">
        <v>776</v>
      </c>
      <c r="G26" s="5"/>
      <c r="H26" s="5"/>
    </row>
    <row r="27" spans="1:8">
      <c r="A27" s="5" t="s">
        <v>777</v>
      </c>
      <c r="B27" s="5">
        <v>5098</v>
      </c>
      <c r="C27" s="5" t="s">
        <v>1046</v>
      </c>
      <c r="D27" s="5" t="s">
        <v>711</v>
      </c>
      <c r="E27" s="5" t="s">
        <v>773</v>
      </c>
      <c r="F27" s="5" t="s">
        <v>778</v>
      </c>
      <c r="G27" s="5"/>
      <c r="H27" s="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E3AE-07C2-3843-B3FE-134872900E0B}">
  <sheetPr>
    <tabColor theme="4"/>
  </sheetPr>
  <dimension ref="A1:H12"/>
  <sheetViews>
    <sheetView showGridLines="0" workbookViewId="0">
      <pane ySplit="1" topLeftCell="A2" activePane="bottomLeft" state="frozen"/>
      <selection pane="bottomLeft" activeCell="G2" sqref="G2"/>
    </sheetView>
  </sheetViews>
  <sheetFormatPr defaultColWidth="11.375" defaultRowHeight="15.95"/>
  <cols>
    <col min="1" max="1" width="14.875" bestFit="1" customWidth="1"/>
    <col min="2" max="2" width="8.375" customWidth="1"/>
    <col min="3" max="3" width="10.875" customWidth="1"/>
    <col min="4" max="4" width="11.125" customWidth="1"/>
    <col min="5" max="5" width="16.625" customWidth="1"/>
    <col min="6" max="6" width="19.375" bestFit="1" customWidth="1"/>
  </cols>
  <sheetData>
    <row r="1" spans="1:8">
      <c r="A1" s="1" t="s">
        <v>1013</v>
      </c>
      <c r="B1" s="1" t="s">
        <v>1014</v>
      </c>
      <c r="C1" s="1" t="s">
        <v>91</v>
      </c>
      <c r="D1" s="1" t="s">
        <v>92</v>
      </c>
      <c r="E1" s="1" t="s">
        <v>104</v>
      </c>
      <c r="F1" s="1" t="s">
        <v>96</v>
      </c>
      <c r="G1" s="1" t="s">
        <v>97</v>
      </c>
      <c r="H1" s="1" t="s">
        <v>98</v>
      </c>
    </row>
    <row r="2" spans="1:8">
      <c r="A2" s="5" t="s">
        <v>779</v>
      </c>
      <c r="B2" s="5">
        <v>5.1999999999999998E-2</v>
      </c>
      <c r="C2" s="5">
        <v>3.3799999999999997E-2</v>
      </c>
      <c r="D2" s="5">
        <v>7.5700000000000003E-2</v>
      </c>
      <c r="E2" s="5"/>
      <c r="F2" s="5" t="s">
        <v>780</v>
      </c>
      <c r="G2" s="5"/>
      <c r="H2" s="5" t="s">
        <v>781</v>
      </c>
    </row>
    <row r="3" spans="1:8">
      <c r="A3" s="5" t="s">
        <v>782</v>
      </c>
      <c r="B3" s="5">
        <v>0.114</v>
      </c>
      <c r="C3" s="5">
        <v>7.7899999999999997E-2</v>
      </c>
      <c r="D3" s="5">
        <v>0.15870000000000001</v>
      </c>
      <c r="E3" s="5"/>
      <c r="F3" s="5" t="s">
        <v>783</v>
      </c>
      <c r="G3" s="5"/>
      <c r="H3" s="5" t="s">
        <v>781</v>
      </c>
    </row>
    <row r="4" spans="1:8">
      <c r="A4" s="5" t="s">
        <v>784</v>
      </c>
      <c r="B4" s="5">
        <v>0.32400000000000001</v>
      </c>
      <c r="C4" s="5">
        <v>0.21970000000000001</v>
      </c>
      <c r="D4" s="5">
        <v>0.44180000000000003</v>
      </c>
      <c r="E4" s="5"/>
      <c r="F4" s="5" t="s">
        <v>785</v>
      </c>
      <c r="G4" s="5"/>
      <c r="H4" s="5" t="s">
        <v>781</v>
      </c>
    </row>
    <row r="5" spans="1:8">
      <c r="A5" s="5" t="s">
        <v>786</v>
      </c>
      <c r="B5" s="5">
        <v>0.13300000000000001</v>
      </c>
      <c r="C5" s="5">
        <v>8.8400000000000006E-2</v>
      </c>
      <c r="D5" s="5">
        <v>0.1895</v>
      </c>
      <c r="E5" s="5"/>
      <c r="F5" s="5" t="s">
        <v>787</v>
      </c>
      <c r="G5" s="5"/>
      <c r="H5" s="5" t="s">
        <v>781</v>
      </c>
    </row>
    <row r="6" spans="1:8">
      <c r="A6" s="5" t="s">
        <v>788</v>
      </c>
      <c r="B6" s="5">
        <v>0.60199999999999998</v>
      </c>
      <c r="C6" s="5">
        <v>0.42659999999999998</v>
      </c>
      <c r="D6" s="5">
        <v>0.75270000000000004</v>
      </c>
      <c r="E6" s="5"/>
      <c r="F6" s="5" t="s">
        <v>789</v>
      </c>
      <c r="G6" s="5"/>
      <c r="H6" s="5" t="s">
        <v>781</v>
      </c>
    </row>
    <row r="7" spans="1:8">
      <c r="A7" s="5" t="s">
        <v>790</v>
      </c>
      <c r="B7" s="5">
        <v>0.32400000000000001</v>
      </c>
      <c r="C7" s="5">
        <v>0.21970000000000001</v>
      </c>
      <c r="D7" s="5">
        <v>0.44180000000000003</v>
      </c>
      <c r="E7" s="5"/>
      <c r="F7" s="5" t="s">
        <v>791</v>
      </c>
      <c r="G7" s="5"/>
      <c r="H7" s="5" t="s">
        <v>781</v>
      </c>
    </row>
    <row r="8" spans="1:8">
      <c r="A8" s="5" t="s">
        <v>792</v>
      </c>
      <c r="B8" s="5">
        <v>1</v>
      </c>
      <c r="C8" s="5"/>
      <c r="D8" s="5"/>
      <c r="E8" s="5"/>
      <c r="F8" s="5" t="s">
        <v>793</v>
      </c>
      <c r="G8" s="5"/>
      <c r="H8" s="5"/>
    </row>
    <row r="9" spans="1:8">
      <c r="A9" s="5" t="s">
        <v>794</v>
      </c>
      <c r="B9" s="5">
        <v>1</v>
      </c>
      <c r="C9" s="5"/>
      <c r="D9" s="5"/>
      <c r="E9" s="5"/>
      <c r="F9" s="5" t="s">
        <v>793</v>
      </c>
      <c r="G9" s="5"/>
      <c r="H9" s="5"/>
    </row>
    <row r="10" spans="1:8">
      <c r="A10" s="5" t="s">
        <v>795</v>
      </c>
      <c r="B10" s="5">
        <v>0.38800000000000001</v>
      </c>
      <c r="C10" s="5"/>
      <c r="D10" s="5"/>
      <c r="E10" s="5"/>
      <c r="F10" s="5" t="s">
        <v>796</v>
      </c>
      <c r="G10" s="5"/>
      <c r="H10" s="5" t="s">
        <v>781</v>
      </c>
    </row>
    <row r="11" spans="1:8">
      <c r="A11" s="5" t="s">
        <v>797</v>
      </c>
      <c r="B11" s="5">
        <v>0.54900000000000004</v>
      </c>
      <c r="C11" s="5"/>
      <c r="D11" s="5"/>
      <c r="E11" s="5"/>
      <c r="F11" s="5" t="s">
        <v>798</v>
      </c>
      <c r="G11" s="5"/>
      <c r="H11" s="5" t="s">
        <v>781</v>
      </c>
    </row>
    <row r="12" spans="1:8">
      <c r="A12" s="5" t="s">
        <v>799</v>
      </c>
      <c r="B12" s="5">
        <v>0.45900000000000002</v>
      </c>
      <c r="C12" s="5"/>
      <c r="D12" s="5"/>
      <c r="E12" s="5"/>
      <c r="F12" s="5" t="s">
        <v>800</v>
      </c>
      <c r="G12" s="5"/>
      <c r="H12" s="5" t="s">
        <v>781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0C47A-C98F-3D45-91B0-516F5414E2AF}">
  <sheetPr>
    <tabColor theme="4"/>
  </sheetPr>
  <dimension ref="A1:F103"/>
  <sheetViews>
    <sheetView showGridLines="0" zoomScale="134" workbookViewId="0">
      <pane ySplit="1" topLeftCell="A2" activePane="bottomLeft" state="frozen"/>
      <selection pane="bottomLeft" activeCell="H27" sqref="H27"/>
    </sheetView>
  </sheetViews>
  <sheetFormatPr defaultColWidth="11" defaultRowHeight="15.95"/>
  <cols>
    <col min="1" max="1" width="22.875" bestFit="1" customWidth="1"/>
    <col min="2" max="2" width="8.375" customWidth="1"/>
    <col min="3" max="3" width="11.125" bestFit="1" customWidth="1"/>
    <col min="4" max="4" width="48" bestFit="1" customWidth="1"/>
    <col min="5" max="5" width="8.625" bestFit="1" customWidth="1"/>
  </cols>
  <sheetData>
    <row r="1" spans="1:6">
      <c r="A1" s="1" t="s">
        <v>89</v>
      </c>
      <c r="B1" s="1" t="s">
        <v>100</v>
      </c>
      <c r="C1" s="1" t="s">
        <v>90</v>
      </c>
      <c r="D1" s="1" t="s">
        <v>96</v>
      </c>
      <c r="E1" s="1" t="s">
        <v>97</v>
      </c>
      <c r="F1" s="1" t="s">
        <v>98</v>
      </c>
    </row>
    <row r="2" spans="1:6">
      <c r="A2" s="5" t="s">
        <v>278</v>
      </c>
      <c r="B2" s="5">
        <v>0</v>
      </c>
      <c r="C2" s="5">
        <v>1104</v>
      </c>
      <c r="D2" s="5" t="s">
        <v>279</v>
      </c>
      <c r="F2" s="5"/>
    </row>
    <row r="3" spans="1:6">
      <c r="A3" s="5" t="s">
        <v>278</v>
      </c>
      <c r="B3" s="5">
        <v>1</v>
      </c>
      <c r="C3" s="5">
        <v>625</v>
      </c>
      <c r="D3" s="5" t="s">
        <v>281</v>
      </c>
      <c r="F3" s="5"/>
    </row>
    <row r="4" spans="1:6">
      <c r="A4" s="5" t="s">
        <v>278</v>
      </c>
      <c r="B4" s="5">
        <v>2</v>
      </c>
      <c r="C4" s="5">
        <v>853</v>
      </c>
      <c r="D4" s="5" t="s">
        <v>282</v>
      </c>
      <c r="F4" s="5"/>
    </row>
    <row r="5" spans="1:6">
      <c r="A5" s="5" t="s">
        <v>278</v>
      </c>
      <c r="B5" s="5">
        <v>3</v>
      </c>
      <c r="C5" s="5">
        <v>1269</v>
      </c>
      <c r="D5" s="5" t="s">
        <v>283</v>
      </c>
      <c r="F5" s="5"/>
    </row>
    <row r="6" spans="1:6">
      <c r="A6" s="5" t="s">
        <v>278</v>
      </c>
      <c r="B6" s="5">
        <v>4</v>
      </c>
      <c r="C6" s="5">
        <v>1707</v>
      </c>
      <c r="D6" s="5" t="s">
        <v>284</v>
      </c>
      <c r="F6" s="5"/>
    </row>
    <row r="7" spans="1:6">
      <c r="A7" s="5" t="s">
        <v>278</v>
      </c>
      <c r="B7" s="5">
        <v>5</v>
      </c>
      <c r="C7" s="5">
        <v>2479</v>
      </c>
      <c r="D7" s="5" t="s">
        <v>285</v>
      </c>
      <c r="F7" s="5"/>
    </row>
    <row r="8" spans="1:6">
      <c r="A8" s="5" t="s">
        <v>278</v>
      </c>
      <c r="B8" s="5">
        <v>6</v>
      </c>
      <c r="C8" s="5">
        <v>3584</v>
      </c>
      <c r="D8" s="5" t="s">
        <v>286</v>
      </c>
      <c r="F8" s="5"/>
    </row>
    <row r="9" spans="1:6">
      <c r="A9" s="5" t="s">
        <v>278</v>
      </c>
      <c r="B9" s="5">
        <v>7</v>
      </c>
      <c r="C9" s="5">
        <v>5790</v>
      </c>
      <c r="D9" s="5" t="s">
        <v>287</v>
      </c>
      <c r="F9" s="5"/>
    </row>
    <row r="10" spans="1:6">
      <c r="A10" s="5" t="s">
        <v>278</v>
      </c>
      <c r="B10" s="5">
        <v>8</v>
      </c>
      <c r="C10" s="5">
        <v>10109</v>
      </c>
      <c r="D10" s="5" t="s">
        <v>288</v>
      </c>
      <c r="F10" s="5"/>
    </row>
    <row r="11" spans="1:6">
      <c r="A11" s="5" t="s">
        <v>278</v>
      </c>
      <c r="B11" s="5">
        <v>9</v>
      </c>
      <c r="C11" s="5">
        <v>15665</v>
      </c>
      <c r="D11" s="5" t="s">
        <v>289</v>
      </c>
      <c r="F11" s="5"/>
    </row>
    <row r="12" spans="1:6">
      <c r="A12" s="5" t="s">
        <v>278</v>
      </c>
      <c r="B12" s="5">
        <v>10</v>
      </c>
      <c r="C12" s="5">
        <v>23644</v>
      </c>
      <c r="D12" s="5" t="s">
        <v>290</v>
      </c>
      <c r="F12" s="5"/>
    </row>
    <row r="13" spans="1:6">
      <c r="A13" s="5" t="s">
        <v>278</v>
      </c>
      <c r="B13" s="5">
        <v>11</v>
      </c>
      <c r="C13" s="5">
        <v>33812</v>
      </c>
      <c r="D13" s="5" t="s">
        <v>291</v>
      </c>
      <c r="F13" s="5"/>
    </row>
    <row r="14" spans="1:6">
      <c r="A14" s="5" t="s">
        <v>278</v>
      </c>
      <c r="B14" s="5">
        <v>12</v>
      </c>
      <c r="C14" s="5">
        <v>45770</v>
      </c>
      <c r="D14" s="5" t="s">
        <v>292</v>
      </c>
      <c r="F14" s="5"/>
    </row>
    <row r="15" spans="1:6">
      <c r="A15" s="5" t="s">
        <v>278</v>
      </c>
      <c r="B15" s="5">
        <v>13</v>
      </c>
      <c r="C15" s="5">
        <v>40159</v>
      </c>
      <c r="D15" s="5" t="s">
        <v>293</v>
      </c>
      <c r="F15" s="5"/>
    </row>
    <row r="16" spans="1:6">
      <c r="A16" s="5" t="s">
        <v>278</v>
      </c>
      <c r="B16" s="5">
        <v>14</v>
      </c>
      <c r="C16" s="5">
        <v>23973</v>
      </c>
      <c r="D16" s="5" t="s">
        <v>294</v>
      </c>
      <c r="F16" s="5"/>
    </row>
    <row r="17" spans="1:6">
      <c r="A17" s="5" t="s">
        <v>278</v>
      </c>
      <c r="B17" s="5">
        <v>15</v>
      </c>
      <c r="C17" s="5">
        <v>12425</v>
      </c>
      <c r="D17" s="5" t="s">
        <v>295</v>
      </c>
      <c r="F17" s="5"/>
    </row>
    <row r="18" spans="1:6">
      <c r="A18" s="5" t="s">
        <v>278</v>
      </c>
      <c r="B18" s="5">
        <v>16</v>
      </c>
      <c r="C18" s="5">
        <v>6117</v>
      </c>
      <c r="D18" s="5" t="s">
        <v>296</v>
      </c>
      <c r="F18" s="5"/>
    </row>
    <row r="19" spans="1:6">
      <c r="A19" s="5" t="s">
        <v>278</v>
      </c>
      <c r="B19" s="5">
        <v>17</v>
      </c>
      <c r="C19" s="5">
        <v>3378</v>
      </c>
      <c r="D19" s="5" t="s">
        <v>297</v>
      </c>
      <c r="F19" s="5"/>
    </row>
    <row r="20" spans="1:6">
      <c r="A20" s="5" t="s">
        <v>298</v>
      </c>
      <c r="B20" s="5">
        <v>0</v>
      </c>
      <c r="C20" s="5">
        <v>2.8432700000000002E-3</v>
      </c>
      <c r="D20" s="5" t="s">
        <v>299</v>
      </c>
      <c r="E20" s="6"/>
      <c r="F20" s="5"/>
    </row>
    <row r="21" spans="1:6">
      <c r="A21" s="5" t="s">
        <v>298</v>
      </c>
      <c r="B21" s="5">
        <v>1</v>
      </c>
      <c r="C21" s="5">
        <v>1.6096400000000001E-3</v>
      </c>
      <c r="D21" s="5" t="s">
        <v>300</v>
      </c>
      <c r="E21" s="6"/>
      <c r="F21" s="5"/>
    </row>
    <row r="22" spans="1:6">
      <c r="A22" s="5" t="s">
        <v>298</v>
      </c>
      <c r="B22" s="5">
        <v>2</v>
      </c>
      <c r="C22" s="5">
        <v>2.1968399999999998E-3</v>
      </c>
      <c r="D22" s="5" t="s">
        <v>301</v>
      </c>
      <c r="E22" s="6"/>
      <c r="F22" s="5"/>
    </row>
    <row r="23" spans="1:6">
      <c r="A23" s="5" t="s">
        <v>298</v>
      </c>
      <c r="B23" s="5">
        <v>3</v>
      </c>
      <c r="C23" s="5">
        <v>3.2682200000000001E-3</v>
      </c>
      <c r="D23" s="5" t="s">
        <v>302</v>
      </c>
      <c r="E23" s="6"/>
      <c r="F23" s="5"/>
    </row>
    <row r="24" spans="1:6">
      <c r="A24" s="5" t="s">
        <v>298</v>
      </c>
      <c r="B24" s="5">
        <v>4</v>
      </c>
      <c r="C24" s="5">
        <v>4.39625E-3</v>
      </c>
      <c r="D24" s="5" t="s">
        <v>303</v>
      </c>
      <c r="E24" s="6"/>
      <c r="F24" s="5"/>
    </row>
    <row r="25" spans="1:6">
      <c r="A25" s="5" t="s">
        <v>298</v>
      </c>
      <c r="B25" s="5">
        <v>5</v>
      </c>
      <c r="C25" s="5">
        <v>6.3844799999999997E-3</v>
      </c>
      <c r="D25" s="5" t="s">
        <v>304</v>
      </c>
      <c r="E25" s="6"/>
      <c r="F25" s="5"/>
    </row>
    <row r="26" spans="1:6">
      <c r="A26" s="5" t="s">
        <v>298</v>
      </c>
      <c r="B26" s="5">
        <v>6</v>
      </c>
      <c r="C26" s="5">
        <v>9.2303300000000001E-3</v>
      </c>
      <c r="D26" s="5" t="s">
        <v>305</v>
      </c>
      <c r="E26" s="6"/>
      <c r="F26" s="5"/>
    </row>
    <row r="27" spans="1:6">
      <c r="A27" s="5" t="s">
        <v>298</v>
      </c>
      <c r="B27" s="5">
        <v>7</v>
      </c>
      <c r="C27" s="5">
        <v>1.491172E-2</v>
      </c>
      <c r="D27" s="5" t="s">
        <v>306</v>
      </c>
      <c r="E27" s="6"/>
      <c r="F27" s="5"/>
    </row>
    <row r="28" spans="1:6">
      <c r="A28" s="5" t="s">
        <v>298</v>
      </c>
      <c r="B28" s="5">
        <v>8</v>
      </c>
      <c r="C28" s="5">
        <v>2.6034990000000001E-2</v>
      </c>
      <c r="D28" s="5" t="s">
        <v>307</v>
      </c>
      <c r="E28" s="6"/>
      <c r="F28" s="5"/>
    </row>
    <row r="29" spans="1:6">
      <c r="A29" s="5" t="s">
        <v>298</v>
      </c>
      <c r="B29" s="5">
        <v>9</v>
      </c>
      <c r="C29" s="5">
        <v>4.0344060000000001E-2</v>
      </c>
      <c r="D29" s="5" t="s">
        <v>308</v>
      </c>
      <c r="E29" s="6"/>
      <c r="F29" s="5"/>
    </row>
    <row r="30" spans="1:6">
      <c r="A30" s="5" t="s">
        <v>298</v>
      </c>
      <c r="B30" s="5">
        <v>10</v>
      </c>
      <c r="C30" s="5">
        <v>0.11102357</v>
      </c>
      <c r="D30" s="5" t="s">
        <v>309</v>
      </c>
      <c r="E30" s="6"/>
      <c r="F30" s="5"/>
    </row>
    <row r="31" spans="1:6">
      <c r="A31" s="5" t="s">
        <v>298</v>
      </c>
      <c r="B31" s="5">
        <v>11</v>
      </c>
      <c r="C31" s="5">
        <v>0.15876878</v>
      </c>
      <c r="D31" s="5" t="s">
        <v>310</v>
      </c>
      <c r="E31" s="6"/>
      <c r="F31" s="5"/>
    </row>
    <row r="32" spans="1:6">
      <c r="A32" s="5" t="s">
        <v>298</v>
      </c>
      <c r="B32" s="5">
        <v>12</v>
      </c>
      <c r="C32" s="5">
        <v>0.21491916999999999</v>
      </c>
      <c r="D32" s="5" t="s">
        <v>311</v>
      </c>
      <c r="E32" s="6"/>
      <c r="F32" s="5"/>
    </row>
    <row r="33" spans="1:6">
      <c r="A33" s="5" t="s">
        <v>298</v>
      </c>
      <c r="B33" s="5">
        <v>13</v>
      </c>
      <c r="C33" s="5">
        <v>0.18857196000000001</v>
      </c>
      <c r="D33" s="5" t="s">
        <v>312</v>
      </c>
      <c r="E33" s="6"/>
      <c r="F33" s="5"/>
    </row>
    <row r="34" spans="1:6">
      <c r="A34" s="5" t="s">
        <v>298</v>
      </c>
      <c r="B34" s="5">
        <v>14</v>
      </c>
      <c r="C34" s="5">
        <v>0.11256843</v>
      </c>
      <c r="D34" s="5" t="s">
        <v>313</v>
      </c>
      <c r="E34" s="6"/>
      <c r="F34" s="5"/>
    </row>
    <row r="35" spans="1:6">
      <c r="A35" s="5" t="s">
        <v>298</v>
      </c>
      <c r="B35" s="5">
        <v>15</v>
      </c>
      <c r="C35" s="5">
        <v>5.8343249999999999E-2</v>
      </c>
      <c r="D35" s="5" t="s">
        <v>314</v>
      </c>
      <c r="E35" s="6"/>
      <c r="F35" s="5"/>
    </row>
    <row r="36" spans="1:6">
      <c r="A36" s="5" t="s">
        <v>298</v>
      </c>
      <c r="B36" s="5">
        <v>16</v>
      </c>
      <c r="C36" s="5">
        <v>2.8723189999999999E-2</v>
      </c>
      <c r="D36" s="5" t="s">
        <v>315</v>
      </c>
      <c r="E36" s="6"/>
      <c r="F36" s="5"/>
    </row>
    <row r="37" spans="1:6">
      <c r="A37" s="5" t="s">
        <v>298</v>
      </c>
      <c r="B37" s="5">
        <v>17</v>
      </c>
      <c r="C37" s="5">
        <v>1.586185E-2</v>
      </c>
      <c r="D37" s="5" t="s">
        <v>316</v>
      </c>
      <c r="E37" s="6"/>
      <c r="F37" s="5"/>
    </row>
    <row r="38" spans="1:6">
      <c r="A38" s="5" t="s">
        <v>317</v>
      </c>
      <c r="B38" s="5">
        <v>0</v>
      </c>
      <c r="C38" s="5">
        <v>5.2865200000000003E-3</v>
      </c>
      <c r="D38" s="5" t="s">
        <v>318</v>
      </c>
      <c r="F38" s="5"/>
    </row>
    <row r="39" spans="1:6">
      <c r="A39" s="5" t="s">
        <v>317</v>
      </c>
      <c r="B39" s="5">
        <v>1</v>
      </c>
      <c r="C39" s="5">
        <v>2.9928200000000002E-3</v>
      </c>
      <c r="D39" s="5" t="s">
        <v>319</v>
      </c>
      <c r="F39" s="5"/>
    </row>
    <row r="40" spans="1:6">
      <c r="A40" s="5" t="s">
        <v>317</v>
      </c>
      <c r="B40" s="5">
        <v>2</v>
      </c>
      <c r="C40" s="5">
        <v>4.0845999999999999E-3</v>
      </c>
      <c r="D40" s="5" t="s">
        <v>320</v>
      </c>
      <c r="F40" s="5"/>
    </row>
    <row r="41" spans="1:6">
      <c r="A41" s="5" t="s">
        <v>317</v>
      </c>
      <c r="B41" s="5">
        <v>3</v>
      </c>
      <c r="C41" s="5">
        <v>6.0766199999999996E-3</v>
      </c>
      <c r="D41" s="5" t="s">
        <v>321</v>
      </c>
      <c r="F41" s="5"/>
    </row>
    <row r="42" spans="1:6">
      <c r="A42" s="5" t="s">
        <v>317</v>
      </c>
      <c r="B42" s="5">
        <v>4</v>
      </c>
      <c r="C42" s="5">
        <v>8.1739900000000008E-3</v>
      </c>
      <c r="D42" s="5" t="s">
        <v>322</v>
      </c>
      <c r="F42" s="5"/>
    </row>
    <row r="43" spans="1:6">
      <c r="A43" s="5" t="s">
        <v>317</v>
      </c>
      <c r="B43" s="5">
        <v>5</v>
      </c>
      <c r="C43" s="5">
        <v>1.187072E-2</v>
      </c>
      <c r="D43" s="5" t="s">
        <v>323</v>
      </c>
      <c r="F43" s="5"/>
    </row>
    <row r="44" spans="1:6">
      <c r="A44" s="5" t="s">
        <v>317</v>
      </c>
      <c r="B44" s="5">
        <v>6</v>
      </c>
      <c r="C44" s="5">
        <v>1.7162030000000002E-2</v>
      </c>
      <c r="D44" s="5" t="s">
        <v>324</v>
      </c>
      <c r="F44" s="5"/>
    </row>
    <row r="45" spans="1:6">
      <c r="A45" s="5" t="s">
        <v>317</v>
      </c>
      <c r="B45" s="5">
        <v>7</v>
      </c>
      <c r="C45" s="5">
        <v>2.7725489999999998E-2</v>
      </c>
      <c r="D45" s="5" t="s">
        <v>325</v>
      </c>
      <c r="F45" s="5"/>
    </row>
    <row r="46" spans="1:6">
      <c r="A46" s="5" t="s">
        <v>317</v>
      </c>
      <c r="B46" s="5">
        <v>8</v>
      </c>
      <c r="C46" s="5">
        <v>4.8407079999999998E-2</v>
      </c>
      <c r="D46" s="5" t="s">
        <v>326</v>
      </c>
      <c r="F46" s="5"/>
    </row>
    <row r="47" spans="1:6">
      <c r="A47" s="5" t="s">
        <v>317</v>
      </c>
      <c r="B47" s="5">
        <v>9</v>
      </c>
      <c r="C47" s="5">
        <v>7.5012060000000005E-2</v>
      </c>
      <c r="D47" s="5" t="s">
        <v>327</v>
      </c>
      <c r="F47" s="5"/>
    </row>
    <row r="48" spans="1:6">
      <c r="A48" s="5" t="s">
        <v>317</v>
      </c>
      <c r="B48" s="5">
        <v>10</v>
      </c>
      <c r="C48" s="5">
        <v>9.9085000000000006E-2</v>
      </c>
      <c r="D48" s="5" t="s">
        <v>328</v>
      </c>
      <c r="F48" s="5"/>
    </row>
    <row r="49" spans="1:6">
      <c r="A49" s="5" t="s">
        <v>317</v>
      </c>
      <c r="B49" s="5">
        <v>11</v>
      </c>
      <c r="C49" s="5">
        <v>0.14169608</v>
      </c>
      <c r="D49" s="5" t="s">
        <v>329</v>
      </c>
      <c r="F49" s="5"/>
    </row>
    <row r="50" spans="1:6">
      <c r="A50" s="5" t="s">
        <v>317</v>
      </c>
      <c r="B50" s="5">
        <v>12</v>
      </c>
      <c r="C50" s="5">
        <v>0.19180852000000001</v>
      </c>
      <c r="D50" s="5" t="s">
        <v>330</v>
      </c>
      <c r="F50" s="5"/>
    </row>
    <row r="51" spans="1:6">
      <c r="A51" s="5" t="s">
        <v>317</v>
      </c>
      <c r="B51" s="5">
        <v>13</v>
      </c>
      <c r="C51" s="5">
        <v>0.16829448</v>
      </c>
      <c r="D51" s="5" t="s">
        <v>331</v>
      </c>
      <c r="F51" s="5"/>
    </row>
    <row r="52" spans="1:6">
      <c r="A52" s="5" t="s">
        <v>317</v>
      </c>
      <c r="B52" s="5">
        <v>14</v>
      </c>
      <c r="C52" s="5">
        <v>0.10046375</v>
      </c>
      <c r="D52" s="5" t="s">
        <v>332</v>
      </c>
      <c r="F52" s="5"/>
    </row>
    <row r="53" spans="1:6">
      <c r="A53" s="5" t="s">
        <v>317</v>
      </c>
      <c r="B53" s="5">
        <v>15</v>
      </c>
      <c r="C53" s="5">
        <v>5.2069499999999998E-2</v>
      </c>
      <c r="D53" s="5" t="s">
        <v>333</v>
      </c>
      <c r="F53" s="5"/>
    </row>
    <row r="54" spans="1:6">
      <c r="A54" s="5" t="s">
        <v>317</v>
      </c>
      <c r="B54" s="5">
        <v>16</v>
      </c>
      <c r="C54" s="5">
        <v>2.5634540000000001E-2</v>
      </c>
      <c r="D54" s="5" t="s">
        <v>334</v>
      </c>
      <c r="F54" s="5"/>
    </row>
    <row r="55" spans="1:6">
      <c r="A55" s="5" t="s">
        <v>317</v>
      </c>
      <c r="B55" s="5">
        <v>17</v>
      </c>
      <c r="C55" s="5">
        <v>1.4156200000000001E-2</v>
      </c>
      <c r="D55" s="5" t="s">
        <v>335</v>
      </c>
      <c r="F55" s="5"/>
    </row>
    <row r="56" spans="1:6">
      <c r="A56" s="5" t="s">
        <v>336</v>
      </c>
      <c r="B56" s="5">
        <v>0</v>
      </c>
      <c r="C56" s="5">
        <v>27</v>
      </c>
      <c r="D56" s="5" t="s">
        <v>337</v>
      </c>
      <c r="F56" s="5"/>
    </row>
    <row r="57" spans="1:6">
      <c r="A57" s="5" t="s">
        <v>336</v>
      </c>
      <c r="B57" s="5">
        <v>1</v>
      </c>
      <c r="C57" s="5">
        <v>28</v>
      </c>
      <c r="D57" s="5" t="s">
        <v>338</v>
      </c>
      <c r="F57" s="5"/>
    </row>
    <row r="58" spans="1:6">
      <c r="A58" s="5" t="s">
        <v>336</v>
      </c>
      <c r="B58" s="5">
        <v>2</v>
      </c>
      <c r="C58" s="5">
        <v>29</v>
      </c>
      <c r="D58" s="5" t="s">
        <v>338</v>
      </c>
      <c r="F58" s="5"/>
    </row>
    <row r="59" spans="1:6">
      <c r="A59" s="5" t="s">
        <v>336</v>
      </c>
      <c r="B59" s="5">
        <v>3</v>
      </c>
      <c r="C59" s="5">
        <v>30</v>
      </c>
      <c r="D59" s="5" t="s">
        <v>338</v>
      </c>
      <c r="F59" s="5"/>
    </row>
    <row r="60" spans="1:6">
      <c r="A60" s="5" t="s">
        <v>336</v>
      </c>
      <c r="B60" s="5">
        <v>4</v>
      </c>
      <c r="C60" s="5">
        <v>31</v>
      </c>
      <c r="D60" s="5" t="s">
        <v>338</v>
      </c>
      <c r="F60" s="5"/>
    </row>
    <row r="61" spans="1:6">
      <c r="A61" s="5" t="s">
        <v>336</v>
      </c>
      <c r="B61" s="5">
        <v>5</v>
      </c>
      <c r="C61" s="5">
        <v>32</v>
      </c>
      <c r="D61" s="5" t="s">
        <v>338</v>
      </c>
      <c r="F61" s="5"/>
    </row>
    <row r="62" spans="1:6">
      <c r="A62" s="5" t="s">
        <v>336</v>
      </c>
      <c r="B62" s="5">
        <v>6</v>
      </c>
      <c r="C62" s="5">
        <v>33</v>
      </c>
      <c r="D62" s="5" t="s">
        <v>338</v>
      </c>
      <c r="F62" s="5"/>
    </row>
    <row r="63" spans="1:6">
      <c r="A63" s="5" t="s">
        <v>336</v>
      </c>
      <c r="B63" s="5">
        <v>7</v>
      </c>
      <c r="C63" s="5">
        <v>34</v>
      </c>
      <c r="D63" s="5" t="s">
        <v>338</v>
      </c>
      <c r="F63" s="5"/>
    </row>
    <row r="64" spans="1:6">
      <c r="A64" s="5" t="s">
        <v>336</v>
      </c>
      <c r="B64" s="5">
        <v>8</v>
      </c>
      <c r="C64" s="5">
        <v>35</v>
      </c>
      <c r="D64" s="5" t="s">
        <v>338</v>
      </c>
      <c r="F64" s="5"/>
    </row>
    <row r="65" spans="1:6">
      <c r="A65" s="5" t="s">
        <v>336</v>
      </c>
      <c r="B65" s="5">
        <v>9</v>
      </c>
      <c r="C65" s="5">
        <v>36</v>
      </c>
      <c r="D65" s="5" t="s">
        <v>338</v>
      </c>
      <c r="F65" s="5"/>
    </row>
    <row r="66" spans="1:6">
      <c r="A66" s="5" t="s">
        <v>336</v>
      </c>
      <c r="B66" s="5">
        <v>10</v>
      </c>
      <c r="C66" s="5">
        <v>37</v>
      </c>
      <c r="D66" s="5" t="s">
        <v>338</v>
      </c>
      <c r="F66" s="5"/>
    </row>
    <row r="67" spans="1:6">
      <c r="A67" s="5" t="s">
        <v>336</v>
      </c>
      <c r="B67" s="5">
        <v>11</v>
      </c>
      <c r="C67" s="5">
        <v>38</v>
      </c>
      <c r="D67" s="5" t="s">
        <v>338</v>
      </c>
      <c r="F67" s="5"/>
    </row>
    <row r="68" spans="1:6">
      <c r="A68" s="5" t="s">
        <v>336</v>
      </c>
      <c r="B68" s="5">
        <v>12</v>
      </c>
      <c r="C68" s="5">
        <v>39</v>
      </c>
      <c r="D68" s="5" t="s">
        <v>338</v>
      </c>
      <c r="F68" s="5"/>
    </row>
    <row r="69" spans="1:6">
      <c r="A69" s="5" t="s">
        <v>336</v>
      </c>
      <c r="B69" s="5">
        <v>13</v>
      </c>
      <c r="C69" s="5">
        <v>40</v>
      </c>
      <c r="D69" s="5" t="s">
        <v>338</v>
      </c>
      <c r="F69" s="5"/>
    </row>
    <row r="70" spans="1:6">
      <c r="A70" s="5" t="s">
        <v>336</v>
      </c>
      <c r="B70" s="5">
        <v>14</v>
      </c>
      <c r="C70" s="5">
        <v>41</v>
      </c>
      <c r="D70" s="5" t="s">
        <v>338</v>
      </c>
      <c r="F70" s="5"/>
    </row>
    <row r="71" spans="1:6">
      <c r="A71" s="5" t="s">
        <v>336</v>
      </c>
      <c r="B71" s="5">
        <v>15</v>
      </c>
      <c r="C71" s="5">
        <v>42</v>
      </c>
      <c r="D71" s="5" t="s">
        <v>338</v>
      </c>
      <c r="F71" s="5"/>
    </row>
    <row r="72" spans="1:6">
      <c r="A72" s="5" t="s">
        <v>336</v>
      </c>
      <c r="B72" s="5">
        <v>16</v>
      </c>
      <c r="C72" s="5">
        <v>43</v>
      </c>
      <c r="D72" s="5" t="s">
        <v>338</v>
      </c>
      <c r="F72" s="5"/>
    </row>
    <row r="73" spans="1:6">
      <c r="A73" s="5" t="s">
        <v>336</v>
      </c>
      <c r="B73" s="5">
        <v>17</v>
      </c>
      <c r="C73" s="5">
        <v>44</v>
      </c>
      <c r="D73" s="5" t="s">
        <v>339</v>
      </c>
      <c r="F73" s="5"/>
    </row>
    <row r="74" spans="1:6">
      <c r="A74" s="5" t="s">
        <v>340</v>
      </c>
      <c r="B74" s="5">
        <v>0</v>
      </c>
      <c r="C74" s="5">
        <v>0.9</v>
      </c>
      <c r="D74" s="5" t="s">
        <v>341</v>
      </c>
      <c r="F74" s="5"/>
    </row>
    <row r="75" spans="1:6">
      <c r="A75" s="5" t="s">
        <v>340</v>
      </c>
      <c r="B75" s="5">
        <v>1</v>
      </c>
      <c r="C75" s="5">
        <v>0.6</v>
      </c>
      <c r="D75" s="5" t="s">
        <v>342</v>
      </c>
      <c r="F75" s="5"/>
    </row>
    <row r="76" spans="1:6">
      <c r="A76" s="5" t="s">
        <v>340</v>
      </c>
      <c r="B76" s="5">
        <v>2</v>
      </c>
      <c r="C76" s="5">
        <v>0.6</v>
      </c>
      <c r="D76" s="5" t="s">
        <v>343</v>
      </c>
      <c r="F76" s="5"/>
    </row>
    <row r="77" spans="1:6">
      <c r="A77" s="5" t="s">
        <v>340</v>
      </c>
      <c r="B77" s="5">
        <v>3</v>
      </c>
      <c r="C77" s="5">
        <v>0.6</v>
      </c>
      <c r="D77" s="5" t="s">
        <v>344</v>
      </c>
      <c r="F77" s="5"/>
    </row>
    <row r="78" spans="1:6">
      <c r="A78" s="5" t="s">
        <v>340</v>
      </c>
      <c r="B78" s="5">
        <v>4</v>
      </c>
      <c r="C78" s="5">
        <v>0.6</v>
      </c>
      <c r="D78" s="5" t="s">
        <v>345</v>
      </c>
      <c r="F78" s="5"/>
    </row>
    <row r="79" spans="1:6">
      <c r="A79" s="5" t="s">
        <v>340</v>
      </c>
      <c r="B79" s="5">
        <v>5</v>
      </c>
      <c r="C79" s="5">
        <v>0.4</v>
      </c>
      <c r="D79" s="5" t="s">
        <v>346</v>
      </c>
      <c r="F79" s="5"/>
    </row>
    <row r="80" spans="1:6">
      <c r="A80" s="5" t="s">
        <v>340</v>
      </c>
      <c r="B80" s="5">
        <v>6</v>
      </c>
      <c r="C80" s="5">
        <v>0.4</v>
      </c>
      <c r="D80" s="5" t="s">
        <v>347</v>
      </c>
      <c r="F80" s="5"/>
    </row>
    <row r="81" spans="1:6">
      <c r="A81" s="5" t="s">
        <v>340</v>
      </c>
      <c r="B81" s="5">
        <v>7</v>
      </c>
      <c r="C81" s="5">
        <v>0.4</v>
      </c>
      <c r="D81" s="5" t="s">
        <v>348</v>
      </c>
      <c r="F81" s="5"/>
    </row>
    <row r="82" spans="1:6">
      <c r="A82" s="5" t="s">
        <v>340</v>
      </c>
      <c r="B82" s="5">
        <v>8</v>
      </c>
      <c r="C82" s="5">
        <v>0.2</v>
      </c>
      <c r="D82" s="5" t="s">
        <v>349</v>
      </c>
      <c r="F82" s="5"/>
    </row>
    <row r="83" spans="1:6">
      <c r="A83" s="5" t="s">
        <v>340</v>
      </c>
      <c r="B83" s="5">
        <v>9</v>
      </c>
      <c r="C83" s="5">
        <v>0.2</v>
      </c>
      <c r="D83" s="5" t="s">
        <v>350</v>
      </c>
      <c r="F83" s="5"/>
    </row>
    <row r="84" spans="1:6">
      <c r="A84" s="5" t="s">
        <v>340</v>
      </c>
      <c r="B84" s="5">
        <v>10</v>
      </c>
      <c r="C84" s="5">
        <v>0</v>
      </c>
      <c r="D84" s="5" t="s">
        <v>351</v>
      </c>
      <c r="F84" s="5"/>
    </row>
    <row r="85" spans="1:6">
      <c r="A85" s="5" t="s">
        <v>340</v>
      </c>
      <c r="B85" s="5">
        <v>11</v>
      </c>
      <c r="C85" s="5">
        <v>0</v>
      </c>
      <c r="D85" s="5" t="s">
        <v>352</v>
      </c>
      <c r="F85" s="5"/>
    </row>
    <row r="86" spans="1:6">
      <c r="A86" s="5" t="s">
        <v>340</v>
      </c>
      <c r="B86" s="5">
        <v>12</v>
      </c>
      <c r="C86" s="5">
        <v>0</v>
      </c>
      <c r="D86" s="5" t="s">
        <v>353</v>
      </c>
      <c r="F86" s="5"/>
    </row>
    <row r="87" spans="1:6">
      <c r="A87" s="5" t="s">
        <v>340</v>
      </c>
      <c r="B87" s="5">
        <v>13</v>
      </c>
      <c r="C87" s="5">
        <v>0</v>
      </c>
      <c r="D87" s="5" t="s">
        <v>354</v>
      </c>
      <c r="F87" s="5"/>
    </row>
    <row r="88" spans="1:6">
      <c r="A88" s="5" t="s">
        <v>340</v>
      </c>
      <c r="B88" s="5">
        <v>14</v>
      </c>
      <c r="C88" s="5">
        <v>0</v>
      </c>
      <c r="D88" s="5" t="s">
        <v>355</v>
      </c>
      <c r="F88" s="5"/>
    </row>
    <row r="89" spans="1:6">
      <c r="A89" s="5" t="s">
        <v>340</v>
      </c>
      <c r="B89" s="5">
        <v>15</v>
      </c>
      <c r="C89" s="5">
        <v>0</v>
      </c>
      <c r="D89" s="5" t="s">
        <v>356</v>
      </c>
      <c r="F89" s="5"/>
    </row>
    <row r="90" spans="1:6">
      <c r="A90" s="5" t="s">
        <v>340</v>
      </c>
      <c r="B90" s="5">
        <v>16</v>
      </c>
      <c r="C90" s="5">
        <v>0</v>
      </c>
      <c r="D90" s="5" t="s">
        <v>357</v>
      </c>
      <c r="F90" s="5"/>
    </row>
    <row r="91" spans="1:6">
      <c r="A91" s="5" t="s">
        <v>340</v>
      </c>
      <c r="B91" s="5">
        <v>17</v>
      </c>
      <c r="C91" s="5">
        <v>0</v>
      </c>
      <c r="D91" s="5" t="s">
        <v>358</v>
      </c>
      <c r="F91" s="5"/>
    </row>
    <row r="92" spans="1:6">
      <c r="A92" s="5" t="s">
        <v>359</v>
      </c>
      <c r="B92" s="5">
        <v>0</v>
      </c>
      <c r="C92" s="5">
        <v>0.39700000000000002</v>
      </c>
      <c r="D92" s="5" t="s">
        <v>360</v>
      </c>
      <c r="E92" t="s">
        <v>361</v>
      </c>
      <c r="F92" s="5"/>
    </row>
    <row r="93" spans="1:6">
      <c r="A93" s="5" t="s">
        <v>359</v>
      </c>
      <c r="B93" s="5">
        <v>1</v>
      </c>
      <c r="C93" s="5">
        <v>0.2</v>
      </c>
      <c r="D93" s="5" t="s">
        <v>362</v>
      </c>
      <c r="E93" t="s">
        <v>361</v>
      </c>
      <c r="F93" s="5"/>
    </row>
    <row r="94" spans="1:6">
      <c r="A94" s="5" t="s">
        <v>363</v>
      </c>
      <c r="B94" s="5">
        <v>0</v>
      </c>
      <c r="C94" s="5">
        <v>5.7000000000000002E-2</v>
      </c>
      <c r="D94" s="5" t="s">
        <v>364</v>
      </c>
      <c r="F94" s="5"/>
    </row>
    <row r="95" spans="1:6">
      <c r="A95" s="5" t="s">
        <v>363</v>
      </c>
      <c r="B95" s="5">
        <v>1</v>
      </c>
      <c r="C95" s="5">
        <v>0.72899999999999998</v>
      </c>
      <c r="D95" s="5" t="s">
        <v>365</v>
      </c>
      <c r="F95" s="5"/>
    </row>
    <row r="96" spans="1:6">
      <c r="A96" s="5" t="s">
        <v>366</v>
      </c>
      <c r="B96" s="5">
        <v>0</v>
      </c>
      <c r="C96" s="5">
        <v>278</v>
      </c>
      <c r="D96" s="5" t="s">
        <v>367</v>
      </c>
      <c r="F96" s="5"/>
    </row>
    <row r="97" spans="1:6">
      <c r="A97" s="5" t="s">
        <v>366</v>
      </c>
      <c r="B97" s="5">
        <v>1</v>
      </c>
      <c r="C97" s="5">
        <v>80</v>
      </c>
      <c r="D97" s="5" t="s">
        <v>368</v>
      </c>
      <c r="F97" s="5"/>
    </row>
    <row r="98" spans="1:6">
      <c r="A98" s="5" t="s">
        <v>369</v>
      </c>
      <c r="B98" s="5">
        <v>0</v>
      </c>
      <c r="C98" s="5">
        <v>37.26</v>
      </c>
      <c r="D98" s="5" t="s">
        <v>370</v>
      </c>
      <c r="F98" s="5"/>
    </row>
    <row r="99" spans="1:6">
      <c r="A99" s="5" t="s">
        <v>369</v>
      </c>
      <c r="B99" s="5">
        <v>1</v>
      </c>
      <c r="C99" s="5">
        <v>14</v>
      </c>
      <c r="D99" s="5" t="s">
        <v>371</v>
      </c>
      <c r="F99" s="5"/>
    </row>
    <row r="100" spans="1:6">
      <c r="A100" s="5" t="s">
        <v>372</v>
      </c>
      <c r="B100" s="5">
        <v>0</v>
      </c>
      <c r="C100" s="5">
        <v>468</v>
      </c>
      <c r="D100" s="5" t="s">
        <v>373</v>
      </c>
      <c r="F100" s="5"/>
    </row>
    <row r="101" spans="1:6">
      <c r="A101" s="5" t="s">
        <v>372</v>
      </c>
      <c r="B101" s="5">
        <v>1</v>
      </c>
      <c r="C101" s="5">
        <v>167</v>
      </c>
      <c r="D101" s="5" t="s">
        <v>374</v>
      </c>
      <c r="F101" s="5"/>
    </row>
    <row r="102" spans="1:6">
      <c r="A102" s="5" t="s">
        <v>375</v>
      </c>
      <c r="B102" s="5">
        <v>0</v>
      </c>
      <c r="C102" s="5">
        <v>86</v>
      </c>
      <c r="D102" s="5" t="s">
        <v>376</v>
      </c>
      <c r="F102" s="5"/>
    </row>
    <row r="103" spans="1:6">
      <c r="A103" s="5" t="s">
        <v>375</v>
      </c>
      <c r="B103" s="5">
        <v>1</v>
      </c>
      <c r="C103" s="5">
        <v>49</v>
      </c>
      <c r="D103" s="5" t="s">
        <v>377</v>
      </c>
      <c r="F103" s="5"/>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DF7B-A2CB-AC44-8207-D43A9610A462}">
  <sheetPr>
    <tabColor theme="5"/>
  </sheetPr>
  <dimension ref="A1:H5"/>
  <sheetViews>
    <sheetView showGridLines="0" workbookViewId="0">
      <pane ySplit="1" topLeftCell="A2" activePane="bottomLeft" state="frozen"/>
      <selection pane="bottomLeft" activeCell="H27" sqref="H27"/>
    </sheetView>
  </sheetViews>
  <sheetFormatPr defaultColWidth="11" defaultRowHeight="15.95"/>
  <cols>
    <col min="3" max="3" width="13.125" customWidth="1"/>
    <col min="5" max="5" width="12.125" customWidth="1"/>
    <col min="6" max="6" width="16.375" customWidth="1"/>
  </cols>
  <sheetData>
    <row r="1" spans="1:8">
      <c r="A1" s="1" t="s">
        <v>101</v>
      </c>
      <c r="B1" s="1" t="s">
        <v>1015</v>
      </c>
      <c r="C1" s="1" t="s">
        <v>1016</v>
      </c>
      <c r="D1" s="1" t="s">
        <v>1017</v>
      </c>
      <c r="E1" s="1" t="s">
        <v>1018</v>
      </c>
      <c r="F1" s="1" t="s">
        <v>1019</v>
      </c>
      <c r="G1" s="1" t="s">
        <v>97</v>
      </c>
      <c r="H1" s="1" t="s">
        <v>98</v>
      </c>
    </row>
    <row r="2" spans="1:8">
      <c r="A2" s="2" t="s">
        <v>381</v>
      </c>
      <c r="B2" s="2" t="b">
        <v>1</v>
      </c>
      <c r="C2" s="2">
        <v>1867283</v>
      </c>
      <c r="D2" s="2" t="s">
        <v>1054</v>
      </c>
      <c r="E2" s="2" t="b">
        <v>1</v>
      </c>
      <c r="F2" s="3">
        <v>45306</v>
      </c>
      <c r="G2" s="2" t="s">
        <v>1055</v>
      </c>
      <c r="H2" s="2"/>
    </row>
    <row r="3" spans="1:8">
      <c r="A3" s="2" t="s">
        <v>61</v>
      </c>
      <c r="B3" s="2" t="b">
        <v>1</v>
      </c>
      <c r="C3" s="2">
        <v>1266860</v>
      </c>
      <c r="D3" s="2" t="s">
        <v>1056</v>
      </c>
      <c r="E3" s="2" t="b">
        <v>0</v>
      </c>
      <c r="F3" s="2"/>
      <c r="G3" s="2"/>
      <c r="H3" s="2"/>
    </row>
    <row r="4" spans="1:8">
      <c r="A4" s="2" t="s">
        <v>64</v>
      </c>
      <c r="B4" s="2" t="b">
        <v>1</v>
      </c>
      <c r="C4" s="2">
        <v>987653</v>
      </c>
      <c r="D4" s="2" t="s">
        <v>1057</v>
      </c>
      <c r="E4" s="2" t="b">
        <v>0</v>
      </c>
      <c r="F4" s="2"/>
      <c r="G4" s="2"/>
      <c r="H4" s="2"/>
    </row>
    <row r="5" spans="1:8">
      <c r="A5" s="2" t="s">
        <v>65</v>
      </c>
      <c r="B5" s="2" t="b">
        <v>1</v>
      </c>
      <c r="C5" s="2">
        <v>1208333</v>
      </c>
      <c r="D5" s="2" t="s">
        <v>1058</v>
      </c>
      <c r="E5" s="2" t="b">
        <v>0</v>
      </c>
      <c r="F5" s="2"/>
      <c r="G5" s="2"/>
      <c r="H5" s="2"/>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C0899-7331-DB4A-A27D-2E73647CAAEC}">
  <sheetPr>
    <tabColor theme="5"/>
  </sheetPr>
  <dimension ref="A1:L45"/>
  <sheetViews>
    <sheetView showGridLines="0" zoomScale="125" workbookViewId="0">
      <pane ySplit="1" topLeftCell="A28" activePane="bottomLeft" state="frozen"/>
      <selection pane="bottomLeft" activeCell="D24" sqref="D24"/>
    </sheetView>
  </sheetViews>
  <sheetFormatPr defaultColWidth="11" defaultRowHeight="15.95"/>
  <cols>
    <col min="1" max="1" width="19" bestFit="1" customWidth="1"/>
    <col min="2" max="2" width="9.875" bestFit="1" customWidth="1"/>
    <col min="5" max="5" width="11.125" customWidth="1"/>
    <col min="8" max="8" width="28.625" customWidth="1"/>
    <col min="9" max="9" width="32" bestFit="1" customWidth="1"/>
    <col min="10" max="10" width="35.875" bestFit="1" customWidth="1"/>
  </cols>
  <sheetData>
    <row r="1" spans="1:11">
      <c r="A1" s="1" t="s">
        <v>89</v>
      </c>
      <c r="B1" s="1" t="s">
        <v>101</v>
      </c>
      <c r="C1" s="1" t="s">
        <v>90</v>
      </c>
      <c r="D1" s="1" t="s">
        <v>91</v>
      </c>
      <c r="E1" s="1" t="s">
        <v>92</v>
      </c>
      <c r="F1" s="1" t="s">
        <v>93</v>
      </c>
      <c r="G1" s="1" t="s">
        <v>94</v>
      </c>
      <c r="H1" s="1" t="s">
        <v>96</v>
      </c>
      <c r="I1" s="1" t="s">
        <v>97</v>
      </c>
      <c r="J1" s="1" t="s">
        <v>98</v>
      </c>
    </row>
    <row r="2" spans="1:11">
      <c r="A2" s="5" t="s">
        <v>378</v>
      </c>
      <c r="B2" s="5" t="s">
        <v>381</v>
      </c>
      <c r="C2" s="5">
        <v>1867283</v>
      </c>
      <c r="D2" s="5"/>
      <c r="E2" s="5"/>
      <c r="F2" s="5"/>
      <c r="G2" s="5" t="s">
        <v>223</v>
      </c>
      <c r="H2" s="5" t="s">
        <v>379</v>
      </c>
      <c r="I2" s="2"/>
      <c r="J2" s="25" t="s">
        <v>380</v>
      </c>
    </row>
    <row r="3" spans="1:11">
      <c r="A3" s="2" t="s">
        <v>378</v>
      </c>
      <c r="B3" s="2" t="s">
        <v>61</v>
      </c>
      <c r="C3" s="2">
        <v>1266860</v>
      </c>
      <c r="D3" s="2"/>
      <c r="E3" s="2"/>
      <c r="F3" s="2"/>
      <c r="G3" s="2" t="s">
        <v>223</v>
      </c>
      <c r="H3" s="2" t="s">
        <v>379</v>
      </c>
      <c r="I3" s="2"/>
      <c r="J3" s="2"/>
    </row>
    <row r="4" spans="1:11">
      <c r="A4" s="2" t="s">
        <v>378</v>
      </c>
      <c r="B4" s="2" t="s">
        <v>64</v>
      </c>
      <c r="C4" s="2">
        <v>987653</v>
      </c>
      <c r="D4" s="2"/>
      <c r="E4" s="2"/>
      <c r="F4" s="2"/>
      <c r="G4" s="2" t="s">
        <v>223</v>
      </c>
      <c r="H4" s="2" t="s">
        <v>379</v>
      </c>
      <c r="I4" s="2"/>
      <c r="J4" s="2"/>
    </row>
    <row r="5" spans="1:11">
      <c r="A5" s="2" t="s">
        <v>378</v>
      </c>
      <c r="B5" s="2" t="s">
        <v>65</v>
      </c>
      <c r="C5" s="2">
        <v>1208333</v>
      </c>
      <c r="D5" s="2"/>
      <c r="E5" s="2"/>
      <c r="F5" s="2"/>
      <c r="G5" s="2" t="s">
        <v>223</v>
      </c>
      <c r="H5" s="2" t="s">
        <v>379</v>
      </c>
      <c r="I5" s="2"/>
      <c r="J5" s="2"/>
    </row>
    <row r="6" spans="1:11">
      <c r="A6" s="5" t="s">
        <v>382</v>
      </c>
      <c r="B6" s="5" t="s">
        <v>381</v>
      </c>
      <c r="C6" s="5">
        <v>5040</v>
      </c>
      <c r="D6" s="5"/>
      <c r="E6" s="5"/>
      <c r="F6" s="5"/>
      <c r="G6" s="5" t="s">
        <v>223</v>
      </c>
      <c r="H6" s="5" t="s">
        <v>383</v>
      </c>
      <c r="I6" s="2" t="s">
        <v>384</v>
      </c>
      <c r="J6" s="2" t="s">
        <v>66</v>
      </c>
    </row>
    <row r="7" spans="1:11">
      <c r="A7" s="2" t="s">
        <v>382</v>
      </c>
      <c r="B7" s="2" t="s">
        <v>61</v>
      </c>
      <c r="C7" s="2" t="s">
        <v>385</v>
      </c>
      <c r="D7" s="2"/>
      <c r="E7" s="2"/>
      <c r="F7" s="2"/>
      <c r="G7" s="2" t="s">
        <v>223</v>
      </c>
      <c r="H7" s="2" t="s">
        <v>383</v>
      </c>
      <c r="I7" s="2" t="s">
        <v>384</v>
      </c>
      <c r="J7" s="2" t="s">
        <v>66</v>
      </c>
    </row>
    <row r="8" spans="1:11">
      <c r="A8" s="2" t="s">
        <v>382</v>
      </c>
      <c r="B8" s="2" t="s">
        <v>64</v>
      </c>
      <c r="C8" s="2" t="s">
        <v>385</v>
      </c>
      <c r="D8" s="2"/>
      <c r="E8" s="2"/>
      <c r="F8" s="2"/>
      <c r="G8" s="2" t="s">
        <v>223</v>
      </c>
      <c r="H8" s="2" t="s">
        <v>383</v>
      </c>
      <c r="I8" s="2" t="s">
        <v>384</v>
      </c>
      <c r="J8" s="2" t="s">
        <v>66</v>
      </c>
    </row>
    <row r="9" spans="1:11">
      <c r="A9" s="2" t="s">
        <v>382</v>
      </c>
      <c r="B9" s="2" t="s">
        <v>65</v>
      </c>
      <c r="C9" s="2" t="s">
        <v>385</v>
      </c>
      <c r="D9" s="2"/>
      <c r="E9" s="2"/>
      <c r="F9" s="2"/>
      <c r="G9" s="2" t="s">
        <v>223</v>
      </c>
      <c r="H9" s="2" t="s">
        <v>383</v>
      </c>
      <c r="I9" s="2" t="s">
        <v>384</v>
      </c>
      <c r="J9" s="2" t="s">
        <v>66</v>
      </c>
    </row>
    <row r="10" spans="1:11">
      <c r="A10" s="5" t="s">
        <v>386</v>
      </c>
      <c r="B10" s="5" t="s">
        <v>381</v>
      </c>
      <c r="C10" s="5">
        <v>0.26</v>
      </c>
      <c r="D10" s="5">
        <v>0.247</v>
      </c>
      <c r="E10" s="5">
        <v>0.27300000000000002</v>
      </c>
      <c r="F10" s="5">
        <v>4419</v>
      </c>
      <c r="G10" s="5" t="s">
        <v>106</v>
      </c>
      <c r="H10" s="5" t="s">
        <v>387</v>
      </c>
      <c r="I10" s="2" t="s">
        <v>388</v>
      </c>
      <c r="J10" s="25" t="s">
        <v>389</v>
      </c>
    </row>
    <row r="11" spans="1:11" ht="45.95">
      <c r="A11" s="2" t="s">
        <v>386</v>
      </c>
      <c r="B11" s="2" t="s">
        <v>61</v>
      </c>
      <c r="C11" s="5">
        <v>0.26</v>
      </c>
      <c r="D11" s="5">
        <v>0.247</v>
      </c>
      <c r="E11" s="5">
        <v>0.27300000000000002</v>
      </c>
      <c r="F11" s="5">
        <v>4419</v>
      </c>
      <c r="G11" s="2" t="s">
        <v>106</v>
      </c>
      <c r="H11" s="2" t="s">
        <v>387</v>
      </c>
      <c r="I11" s="39" t="s">
        <v>390</v>
      </c>
      <c r="J11" s="25" t="s">
        <v>389</v>
      </c>
      <c r="K11" s="97" t="s">
        <v>1059</v>
      </c>
    </row>
    <row r="12" spans="1:11" ht="45.95">
      <c r="A12" s="2" t="s">
        <v>386</v>
      </c>
      <c r="B12" s="2" t="s">
        <v>64</v>
      </c>
      <c r="C12" s="5">
        <v>0.26</v>
      </c>
      <c r="D12" s="5">
        <v>0.247</v>
      </c>
      <c r="E12" s="5">
        <v>0.27300000000000002</v>
      </c>
      <c r="F12" s="5">
        <v>4419</v>
      </c>
      <c r="G12" s="2" t="s">
        <v>106</v>
      </c>
      <c r="H12" s="2" t="s">
        <v>387</v>
      </c>
      <c r="I12" s="39" t="s">
        <v>390</v>
      </c>
      <c r="J12" s="25" t="s">
        <v>389</v>
      </c>
      <c r="K12" s="97" t="s">
        <v>1059</v>
      </c>
    </row>
    <row r="13" spans="1:11" ht="90.95">
      <c r="A13" s="2" t="s">
        <v>386</v>
      </c>
      <c r="B13" s="2" t="s">
        <v>65</v>
      </c>
      <c r="C13" s="5">
        <v>0.26</v>
      </c>
      <c r="D13" s="5">
        <v>0.247</v>
      </c>
      <c r="E13" s="5">
        <v>0.27300000000000002</v>
      </c>
      <c r="F13" s="5">
        <v>4419</v>
      </c>
      <c r="G13" s="2" t="s">
        <v>106</v>
      </c>
      <c r="H13" s="2" t="s">
        <v>387</v>
      </c>
      <c r="I13" s="39" t="s">
        <v>391</v>
      </c>
      <c r="J13" s="25" t="s">
        <v>389</v>
      </c>
      <c r="K13" s="97" t="s">
        <v>1059</v>
      </c>
    </row>
    <row r="14" spans="1:11">
      <c r="A14" s="5" t="s">
        <v>392</v>
      </c>
      <c r="B14" s="5" t="s">
        <v>381</v>
      </c>
      <c r="C14" s="5">
        <v>0.56000000000000005</v>
      </c>
      <c r="D14" s="5">
        <v>0.49399999999999999</v>
      </c>
      <c r="E14" s="5">
        <v>0.626</v>
      </c>
      <c r="F14" s="5">
        <v>216</v>
      </c>
      <c r="G14" s="5" t="s">
        <v>106</v>
      </c>
      <c r="H14" s="5" t="s">
        <v>393</v>
      </c>
      <c r="I14" s="2"/>
      <c r="J14" s="24" t="s">
        <v>394</v>
      </c>
    </row>
    <row r="15" spans="1:11">
      <c r="A15" s="2" t="s">
        <v>392</v>
      </c>
      <c r="B15" s="2" t="s">
        <v>61</v>
      </c>
      <c r="C15" s="2">
        <v>0.55000000000000004</v>
      </c>
      <c r="D15" s="2"/>
      <c r="E15" s="2"/>
      <c r="F15" s="2"/>
      <c r="G15" s="2" t="s">
        <v>106</v>
      </c>
      <c r="H15" s="2" t="s">
        <v>393</v>
      </c>
      <c r="I15" s="2" t="s">
        <v>395</v>
      </c>
      <c r="J15" s="25" t="s">
        <v>67</v>
      </c>
    </row>
    <row r="16" spans="1:11">
      <c r="A16" s="2" t="s">
        <v>392</v>
      </c>
      <c r="B16" s="2" t="s">
        <v>64</v>
      </c>
      <c r="C16" s="2">
        <v>0.74</v>
      </c>
      <c r="D16" s="2"/>
      <c r="E16" s="2"/>
      <c r="F16" s="2"/>
      <c r="G16" s="2" t="s">
        <v>106</v>
      </c>
      <c r="H16" s="2" t="s">
        <v>393</v>
      </c>
      <c r="I16" s="2" t="s">
        <v>395</v>
      </c>
      <c r="J16" s="25" t="s">
        <v>69</v>
      </c>
    </row>
    <row r="17" spans="1:12">
      <c r="A17" s="2" t="s">
        <v>392</v>
      </c>
      <c r="B17" s="2" t="s">
        <v>65</v>
      </c>
      <c r="C17" s="2">
        <v>0.69</v>
      </c>
      <c r="D17" s="2"/>
      <c r="E17" s="2"/>
      <c r="F17" s="2"/>
      <c r="G17" s="2" t="s">
        <v>106</v>
      </c>
      <c r="H17" s="2" t="s">
        <v>393</v>
      </c>
      <c r="I17" s="2" t="s">
        <v>395</v>
      </c>
      <c r="J17" s="25" t="s">
        <v>70</v>
      </c>
    </row>
    <row r="18" spans="1:12">
      <c r="A18" s="5" t="s">
        <v>396</v>
      </c>
      <c r="B18" s="5" t="s">
        <v>381</v>
      </c>
      <c r="C18" s="5">
        <v>0.57199999999999995</v>
      </c>
      <c r="D18" s="5">
        <v>0.50600000000000001</v>
      </c>
      <c r="E18" s="5">
        <v>0.63800000000000001</v>
      </c>
      <c r="F18" s="5">
        <v>216</v>
      </c>
      <c r="G18" s="5" t="s">
        <v>106</v>
      </c>
      <c r="H18" s="5" t="s">
        <v>397</v>
      </c>
      <c r="I18" s="2"/>
      <c r="J18" s="24" t="s">
        <v>394</v>
      </c>
    </row>
    <row r="19" spans="1:12">
      <c r="A19" s="2" t="s">
        <v>396</v>
      </c>
      <c r="B19" s="2" t="s">
        <v>61</v>
      </c>
      <c r="C19" s="2">
        <v>0.32700000000000001</v>
      </c>
      <c r="D19" s="2">
        <f>Table9[[#This Row],[value]]-0.0315</f>
        <v>0.29549999999999998</v>
      </c>
      <c r="E19" s="2">
        <f>Table9[[#This Row],[value]]+0.0315</f>
        <v>0.35850000000000004</v>
      </c>
      <c r="F19" s="2"/>
      <c r="G19" s="2" t="s">
        <v>106</v>
      </c>
      <c r="H19" s="2" t="s">
        <v>397</v>
      </c>
      <c r="I19" s="2" t="s">
        <v>398</v>
      </c>
      <c r="J19" s="24" t="s">
        <v>394</v>
      </c>
      <c r="K19" s="96" t="s">
        <v>1060</v>
      </c>
    </row>
    <row r="20" spans="1:12">
      <c r="A20" s="2" t="s">
        <v>396</v>
      </c>
      <c r="B20" s="2" t="s">
        <v>64</v>
      </c>
      <c r="C20" s="2">
        <v>0.36299999999999999</v>
      </c>
      <c r="D20" s="2">
        <f>Table9[[#This Row],[value]]-0.0388</f>
        <v>0.32419999999999999</v>
      </c>
      <c r="E20" s="2">
        <f>Table9[[#This Row],[value]]+0.0388</f>
        <v>0.40179999999999999</v>
      </c>
      <c r="F20" s="2"/>
      <c r="G20" s="2" t="s">
        <v>106</v>
      </c>
      <c r="H20" s="2" t="s">
        <v>397</v>
      </c>
      <c r="I20" s="2" t="s">
        <v>398</v>
      </c>
      <c r="J20" s="24" t="s">
        <v>394</v>
      </c>
      <c r="K20" s="96" t="s">
        <v>1060</v>
      </c>
    </row>
    <row r="21" spans="1:12">
      <c r="A21" s="2" t="s">
        <v>396</v>
      </c>
      <c r="B21" s="2" t="s">
        <v>65</v>
      </c>
      <c r="C21" s="2">
        <v>0.81</v>
      </c>
      <c r="D21" s="2">
        <f>Table9[[#This Row],[value]]-0.041</f>
        <v>0.76900000000000002</v>
      </c>
      <c r="E21" s="2">
        <f>Table9[[#This Row],[value]]+0.041</f>
        <v>0.85100000000000009</v>
      </c>
      <c r="F21" s="2"/>
      <c r="G21" s="2" t="s">
        <v>106</v>
      </c>
      <c r="H21" s="2" t="s">
        <v>397</v>
      </c>
      <c r="I21" s="2" t="s">
        <v>398</v>
      </c>
      <c r="J21" s="24" t="s">
        <v>394</v>
      </c>
      <c r="K21" s="96" t="s">
        <v>1060</v>
      </c>
    </row>
    <row r="22" spans="1:12">
      <c r="A22" s="5" t="s">
        <v>399</v>
      </c>
      <c r="B22" s="5" t="s">
        <v>381</v>
      </c>
      <c r="C22" s="5">
        <v>0.89</v>
      </c>
      <c r="D22" s="5">
        <v>0.88600000000000001</v>
      </c>
      <c r="E22" s="5">
        <v>0.89400000000000002</v>
      </c>
      <c r="F22" s="5">
        <v>19127</v>
      </c>
      <c r="G22" s="5" t="s">
        <v>106</v>
      </c>
      <c r="H22" s="5" t="s">
        <v>400</v>
      </c>
      <c r="I22" s="2" t="s">
        <v>401</v>
      </c>
      <c r="J22" s="25" t="s">
        <v>402</v>
      </c>
    </row>
    <row r="23" spans="1:12">
      <c r="A23" s="2" t="s">
        <v>399</v>
      </c>
      <c r="B23" s="2" t="s">
        <v>61</v>
      </c>
      <c r="C23" s="5">
        <v>0.89</v>
      </c>
      <c r="D23" s="2"/>
      <c r="E23" s="2"/>
      <c r="F23" s="2"/>
      <c r="G23" s="2" t="s">
        <v>106</v>
      </c>
      <c r="H23" s="2" t="s">
        <v>400</v>
      </c>
      <c r="I23" s="2" t="s">
        <v>403</v>
      </c>
      <c r="J23" s="2"/>
      <c r="K23" s="96" t="s">
        <v>1060</v>
      </c>
    </row>
    <row r="24" spans="1:12">
      <c r="A24" s="2" t="s">
        <v>399</v>
      </c>
      <c r="B24" s="2" t="s">
        <v>64</v>
      </c>
      <c r="C24" s="5">
        <v>0.89</v>
      </c>
      <c r="D24" s="2"/>
      <c r="E24" s="2"/>
      <c r="F24" s="2"/>
      <c r="G24" s="2" t="s">
        <v>106</v>
      </c>
      <c r="H24" s="2" t="s">
        <v>400</v>
      </c>
      <c r="I24" s="2" t="s">
        <v>403</v>
      </c>
      <c r="J24" s="2"/>
      <c r="K24" s="96" t="s">
        <v>1060</v>
      </c>
    </row>
    <row r="25" spans="1:12">
      <c r="A25" s="2" t="s">
        <v>399</v>
      </c>
      <c r="B25" s="2" t="s">
        <v>65</v>
      </c>
      <c r="C25" s="5">
        <v>0.89</v>
      </c>
      <c r="D25" s="2"/>
      <c r="E25" s="2"/>
      <c r="F25" s="2"/>
      <c r="G25" s="2" t="s">
        <v>106</v>
      </c>
      <c r="H25" s="2" t="s">
        <v>400</v>
      </c>
      <c r="I25" s="2" t="s">
        <v>403</v>
      </c>
      <c r="J25" s="2"/>
      <c r="K25" s="96" t="s">
        <v>1060</v>
      </c>
    </row>
    <row r="26" spans="1:12">
      <c r="A26" s="5" t="s">
        <v>404</v>
      </c>
      <c r="B26" s="5" t="s">
        <v>381</v>
      </c>
      <c r="C26" s="5">
        <v>0.54</v>
      </c>
      <c r="D26" s="5">
        <v>0.41899999999999998</v>
      </c>
      <c r="E26" s="5">
        <v>0.66100000000000003</v>
      </c>
      <c r="F26" s="5">
        <v>65</v>
      </c>
      <c r="G26" s="5" t="s">
        <v>106</v>
      </c>
      <c r="H26" s="5" t="s">
        <v>405</v>
      </c>
      <c r="I26" s="2" t="s">
        <v>401</v>
      </c>
      <c r="J26" s="25" t="s">
        <v>406</v>
      </c>
    </row>
    <row r="27" spans="1:12" ht="45.95">
      <c r="A27" s="2" t="s">
        <v>404</v>
      </c>
      <c r="B27" s="2" t="s">
        <v>61</v>
      </c>
      <c r="C27" s="2">
        <v>0.61</v>
      </c>
      <c r="D27" s="2"/>
      <c r="E27" s="2"/>
      <c r="F27" s="2"/>
      <c r="G27" s="2" t="s">
        <v>106</v>
      </c>
      <c r="H27" s="2" t="s">
        <v>405</v>
      </c>
      <c r="I27" s="39" t="s">
        <v>407</v>
      </c>
      <c r="J27" s="2" t="s">
        <v>408</v>
      </c>
      <c r="K27" s="97" t="s">
        <v>1059</v>
      </c>
      <c r="L27" s="28" t="s">
        <v>1061</v>
      </c>
    </row>
    <row r="28" spans="1:12" ht="45.95">
      <c r="A28" s="2" t="s">
        <v>404</v>
      </c>
      <c r="B28" s="2" t="s">
        <v>64</v>
      </c>
      <c r="C28" s="2">
        <v>0.65</v>
      </c>
      <c r="D28" s="2"/>
      <c r="E28" s="2"/>
      <c r="F28" s="2"/>
      <c r="G28" s="2" t="s">
        <v>106</v>
      </c>
      <c r="H28" s="2" t="s">
        <v>405</v>
      </c>
      <c r="I28" s="39" t="s">
        <v>407</v>
      </c>
      <c r="J28" s="2" t="s">
        <v>408</v>
      </c>
      <c r="K28" s="97" t="s">
        <v>1059</v>
      </c>
    </row>
    <row r="29" spans="1:12" ht="45.95">
      <c r="A29" s="2" t="s">
        <v>404</v>
      </c>
      <c r="B29" s="2" t="s">
        <v>65</v>
      </c>
      <c r="C29" s="2">
        <v>0.56499999999999995</v>
      </c>
      <c r="D29" s="2"/>
      <c r="E29" s="2"/>
      <c r="F29" s="2"/>
      <c r="G29" s="2" t="s">
        <v>106</v>
      </c>
      <c r="H29" s="2" t="s">
        <v>405</v>
      </c>
      <c r="I29" s="39" t="s">
        <v>407</v>
      </c>
      <c r="J29" s="2" t="s">
        <v>408</v>
      </c>
      <c r="K29" s="97" t="s">
        <v>1059</v>
      </c>
    </row>
    <row r="30" spans="1:12">
      <c r="A30" s="5" t="s">
        <v>409</v>
      </c>
      <c r="B30" s="5" t="s">
        <v>381</v>
      </c>
      <c r="C30" s="5">
        <v>0.6</v>
      </c>
      <c r="D30" s="5">
        <v>0.496</v>
      </c>
      <c r="E30" s="5">
        <v>0.70399999999999996</v>
      </c>
      <c r="F30" s="5">
        <v>86</v>
      </c>
      <c r="G30" s="5" t="s">
        <v>106</v>
      </c>
      <c r="H30" s="5" t="s">
        <v>410</v>
      </c>
      <c r="I30" s="2" t="s">
        <v>401</v>
      </c>
      <c r="J30" s="25" t="s">
        <v>406</v>
      </c>
    </row>
    <row r="31" spans="1:12" ht="45.95">
      <c r="A31" s="2" t="s">
        <v>409</v>
      </c>
      <c r="B31" s="2" t="s">
        <v>61</v>
      </c>
      <c r="C31" s="2">
        <v>0.61</v>
      </c>
      <c r="D31" s="2"/>
      <c r="E31" s="2"/>
      <c r="F31" s="2"/>
      <c r="G31" s="2" t="s">
        <v>106</v>
      </c>
      <c r="H31" s="2" t="s">
        <v>410</v>
      </c>
      <c r="I31" s="39" t="s">
        <v>407</v>
      </c>
      <c r="J31" s="2" t="s">
        <v>408</v>
      </c>
      <c r="K31" s="97" t="s">
        <v>1059</v>
      </c>
    </row>
    <row r="32" spans="1:12" ht="45.95">
      <c r="A32" s="2" t="s">
        <v>409</v>
      </c>
      <c r="B32" s="2" t="s">
        <v>64</v>
      </c>
      <c r="C32" s="2">
        <v>0.65</v>
      </c>
      <c r="D32" s="2"/>
      <c r="E32" s="2"/>
      <c r="F32" s="2"/>
      <c r="G32" s="2" t="s">
        <v>106</v>
      </c>
      <c r="H32" s="2" t="s">
        <v>410</v>
      </c>
      <c r="I32" s="39" t="s">
        <v>407</v>
      </c>
      <c r="J32" s="2" t="s">
        <v>408</v>
      </c>
      <c r="K32" s="97" t="s">
        <v>1059</v>
      </c>
    </row>
    <row r="33" spans="1:11" ht="45.95">
      <c r="A33" s="2" t="s">
        <v>409</v>
      </c>
      <c r="B33" s="2" t="s">
        <v>65</v>
      </c>
      <c r="C33" s="2">
        <v>0.56499999999999995</v>
      </c>
      <c r="D33" s="2"/>
      <c r="E33" s="2"/>
      <c r="F33" s="2"/>
      <c r="G33" s="2" t="s">
        <v>106</v>
      </c>
      <c r="H33" s="2" t="s">
        <v>410</v>
      </c>
      <c r="I33" s="39" t="s">
        <v>407</v>
      </c>
      <c r="J33" s="2" t="s">
        <v>408</v>
      </c>
      <c r="K33" s="97" t="s">
        <v>1059</v>
      </c>
    </row>
    <row r="34" spans="1:11">
      <c r="A34" s="5" t="s">
        <v>411</v>
      </c>
      <c r="B34" s="5" t="s">
        <v>381</v>
      </c>
      <c r="C34" s="5">
        <v>2898.08</v>
      </c>
      <c r="D34" s="5"/>
      <c r="E34" s="5"/>
      <c r="F34" s="5"/>
      <c r="G34" s="5" t="s">
        <v>223</v>
      </c>
      <c r="H34" s="5" t="s">
        <v>412</v>
      </c>
      <c r="I34" s="2" t="s">
        <v>401</v>
      </c>
      <c r="J34" s="25" t="s">
        <v>406</v>
      </c>
    </row>
    <row r="35" spans="1:11">
      <c r="A35" s="2" t="s">
        <v>411</v>
      </c>
      <c r="B35" s="2" t="s">
        <v>61</v>
      </c>
      <c r="C35" s="2">
        <f>2115.75</f>
        <v>2115.75</v>
      </c>
      <c r="D35" s="2"/>
      <c r="E35" s="2"/>
      <c r="F35" s="2"/>
      <c r="G35" s="2" t="s">
        <v>223</v>
      </c>
      <c r="H35" s="2" t="s">
        <v>413</v>
      </c>
      <c r="I35" s="2"/>
      <c r="J35" s="2"/>
      <c r="K35" s="96" t="s">
        <v>1060</v>
      </c>
    </row>
    <row r="36" spans="1:11">
      <c r="A36" s="2" t="s">
        <v>411</v>
      </c>
      <c r="B36" s="2" t="s">
        <v>64</v>
      </c>
      <c r="C36" s="2">
        <v>1375.2</v>
      </c>
      <c r="D36" s="2"/>
      <c r="E36" s="2"/>
      <c r="F36" s="2"/>
      <c r="G36" s="2" t="s">
        <v>223</v>
      </c>
      <c r="H36" s="2" t="s">
        <v>413</v>
      </c>
      <c r="I36" s="2"/>
      <c r="J36" s="2"/>
      <c r="K36" s="96" t="s">
        <v>1060</v>
      </c>
    </row>
    <row r="37" spans="1:11">
      <c r="A37" s="2" t="s">
        <v>411</v>
      </c>
      <c r="B37" s="2" t="s">
        <v>65</v>
      </c>
      <c r="C37" s="2">
        <v>2003.67</v>
      </c>
      <c r="D37" s="2"/>
      <c r="E37" s="2"/>
      <c r="F37" s="2"/>
      <c r="G37" s="2" t="s">
        <v>223</v>
      </c>
      <c r="H37" s="2" t="s">
        <v>413</v>
      </c>
      <c r="I37" s="2"/>
      <c r="J37" s="2"/>
      <c r="K37" s="96" t="s">
        <v>1060</v>
      </c>
    </row>
    <row r="38" spans="1:11">
      <c r="A38" s="2"/>
      <c r="B38" s="2"/>
      <c r="C38" s="2"/>
      <c r="D38" s="2"/>
      <c r="E38" s="2"/>
      <c r="F38" s="2"/>
      <c r="G38" s="2"/>
      <c r="H38" s="2"/>
      <c r="I38" s="2"/>
    </row>
    <row r="39" spans="1:11">
      <c r="A39" s="2"/>
      <c r="B39" s="2"/>
      <c r="C39" s="2"/>
      <c r="D39" s="2"/>
      <c r="E39" s="2"/>
      <c r="F39" s="2"/>
      <c r="G39" s="2"/>
      <c r="H39" s="2"/>
      <c r="I39" s="2"/>
    </row>
    <row r="40" spans="1:11">
      <c r="A40" s="2"/>
      <c r="B40" s="2"/>
      <c r="C40" s="2"/>
      <c r="D40" s="2"/>
      <c r="E40" s="2"/>
      <c r="F40" s="2"/>
      <c r="G40" s="2"/>
      <c r="H40" s="2"/>
      <c r="I40" s="2"/>
    </row>
    <row r="41" spans="1:11">
      <c r="A41" s="2"/>
      <c r="B41" s="2"/>
      <c r="C41" s="2"/>
      <c r="D41" s="2"/>
      <c r="E41" s="2"/>
      <c r="F41" s="2"/>
      <c r="G41" s="2"/>
      <c r="H41" s="2"/>
      <c r="I41" s="2"/>
    </row>
    <row r="42" spans="1:11">
      <c r="A42" s="2"/>
      <c r="B42" s="2"/>
      <c r="C42" s="2"/>
      <c r="D42" s="2"/>
      <c r="E42" s="2"/>
      <c r="F42" s="2"/>
      <c r="G42" s="2"/>
      <c r="H42" s="2"/>
      <c r="I42" s="2"/>
    </row>
    <row r="43" spans="1:11">
      <c r="A43" s="2"/>
      <c r="B43" s="2"/>
      <c r="C43" s="2"/>
      <c r="D43" s="2"/>
      <c r="E43" s="2"/>
      <c r="F43" s="2"/>
      <c r="G43" s="2"/>
      <c r="H43" s="2"/>
      <c r="I43" s="2"/>
    </row>
    <row r="44" spans="1:11">
      <c r="A44" s="2"/>
      <c r="B44" s="2"/>
      <c r="C44" s="2"/>
      <c r="D44" s="2"/>
      <c r="E44" s="2"/>
      <c r="F44" s="2"/>
      <c r="G44" s="2"/>
      <c r="H44" s="2"/>
      <c r="I44" s="2"/>
    </row>
    <row r="45" spans="1:11">
      <c r="A45" s="2"/>
      <c r="B45" s="2"/>
      <c r="C45" s="2"/>
      <c r="D45" s="2"/>
      <c r="E45" s="2"/>
      <c r="F45" s="2"/>
      <c r="G45" s="2"/>
      <c r="H45" s="2"/>
      <c r="I45" s="2"/>
    </row>
  </sheetData>
  <conditionalFormatting sqref="A2:J37">
    <cfRule type="expression" dxfId="63" priority="1">
      <formula>$C2=""</formula>
    </cfRule>
  </conditionalFormatting>
  <hyperlinks>
    <hyperlink ref="J22" r:id="rId1" display="https://doi.org/10.1093/heapol/czae088" xr:uid="{5B162C1B-C17D-3B45-9744-F2385E674AD1}"/>
    <hyperlink ref="J26" r:id="rId2" display="https://dash.harvard.edu/handle/1/42676027" xr:uid="{30D4C4DD-F8AA-0D4A-9156-DC4133C14180}"/>
    <hyperlink ref="J30" r:id="rId3" display="https://dash.harvard.edu/handle/1/42676027" xr:uid="{C34A36DB-9F1D-B447-8E81-820DE809BAD4}"/>
    <hyperlink ref="J10" r:id="rId4" display="https://pmc.ncbi.nlm.nih.gov/articles/PMC10619084/pdf/bmjopen-2023-072451.pdf" xr:uid="{BE5B791A-BC08-7044-BDE3-452CAF75EEDD}"/>
    <hyperlink ref="J2" r:id="rId5" display="https://www.knbs.or.ke/wp-content/uploads/2023/09/2019-Kenya-population-and-Housing-Census-Analytical-Report-on-Population-Dynamics.pdf" xr:uid="{5257A625-43A2-404D-99CA-A1F4F698E54C}"/>
    <hyperlink ref="J34" r:id="rId6" display="https://dash.harvard.edu/handle/1/42676027" xr:uid="{F6714572-B31C-A445-B387-51399CA24FEF}"/>
    <hyperlink ref="J15" r:id="rId7" xr:uid="{4E2D453D-F7BB-4753-BB5C-679344E36FBD}"/>
    <hyperlink ref="J16:J17" r:id="rId8" display="MOMISH Data: PROMPTS_Data_20250724_v3" xr:uid="{ABD7FF9E-6922-477A-AE8F-B0FAEAEEA02B}"/>
    <hyperlink ref="J11" r:id="rId9" display="https://pmc.ncbi.nlm.nih.gov/articles/PMC10619084/pdf/bmjopen-2023-072451.pdf" xr:uid="{ABCF14A1-805B-AC40-ABCB-F1FF84F60FB4}"/>
    <hyperlink ref="J12" r:id="rId10" display="https://pmc.ncbi.nlm.nih.gov/articles/PMC10619084/pdf/bmjopen-2023-072451.pdf" xr:uid="{9CA4BE4F-74F5-4A4C-9DE7-1BC299B3A5CC}"/>
    <hyperlink ref="J13" r:id="rId11" display="https://pmc.ncbi.nlm.nih.gov/articles/PMC10619084/pdf/bmjopen-2023-072451.pdf" xr:uid="{BD80C4DE-F4D9-2E44-BB61-8887B47E2A70}"/>
  </hyperlinks>
  <pageMargins left="0.7" right="0.7" top="0.75" bottom="0.75" header="0.3" footer="0.3"/>
  <tableParts count="1">
    <tablePart r:id="rId1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EFE-4EDB-0344-8A95-13C4DA99C8F0}">
  <sheetPr>
    <tabColor theme="5"/>
  </sheetPr>
  <dimension ref="A1:N97"/>
  <sheetViews>
    <sheetView showGridLines="0" workbookViewId="0">
      <pane ySplit="1" topLeftCell="A42" activePane="bottomLeft" state="frozen"/>
      <selection pane="bottomLeft" activeCell="J15" sqref="J15"/>
    </sheetView>
  </sheetViews>
  <sheetFormatPr defaultColWidth="11" defaultRowHeight="15.95"/>
  <cols>
    <col min="1" max="1" width="17.875" bestFit="1" customWidth="1"/>
    <col min="4" max="4" width="14.375" customWidth="1"/>
    <col min="5" max="5" width="33.375" customWidth="1"/>
    <col min="6" max="6" width="37.875" customWidth="1"/>
    <col min="7" max="7" width="31" customWidth="1"/>
    <col min="8" max="8" width="30.875" style="29" customWidth="1"/>
    <col min="9" max="10" width="15.5" customWidth="1"/>
    <col min="11" max="11" width="14.5" customWidth="1"/>
    <col min="12" max="12" width="19.375" customWidth="1"/>
    <col min="13" max="13" width="33.625" bestFit="1" customWidth="1"/>
    <col min="14" max="14" width="50.375" style="29" bestFit="1" customWidth="1"/>
  </cols>
  <sheetData>
    <row r="1" spans="1:14" ht="17.100000000000001" thickBot="1">
      <c r="A1" t="s">
        <v>89</v>
      </c>
      <c r="B1" s="84" t="s">
        <v>101</v>
      </c>
      <c r="C1" s="81" t="s">
        <v>90</v>
      </c>
      <c r="D1" s="81" t="s">
        <v>102</v>
      </c>
      <c r="E1" s="81" t="s">
        <v>97</v>
      </c>
      <c r="F1" s="87" t="s">
        <v>98</v>
      </c>
      <c r="H1"/>
      <c r="L1" s="29"/>
      <c r="N1"/>
    </row>
    <row r="2" spans="1:14" ht="33.950000000000003">
      <c r="A2" t="s">
        <v>593</v>
      </c>
      <c r="B2" s="85" t="s">
        <v>381</v>
      </c>
      <c r="C2" s="78">
        <v>187</v>
      </c>
      <c r="D2" s="78" t="s">
        <v>514</v>
      </c>
      <c r="E2" s="80" t="s">
        <v>1062</v>
      </c>
      <c r="F2" s="89" t="s">
        <v>595</v>
      </c>
      <c r="H2" s="28" t="s">
        <v>1063</v>
      </c>
      <c r="L2" s="29"/>
      <c r="N2"/>
    </row>
    <row r="3" spans="1:14" ht="33.950000000000003">
      <c r="A3" t="s">
        <v>593</v>
      </c>
      <c r="B3" s="85" t="s">
        <v>381</v>
      </c>
      <c r="C3" s="78">
        <v>17</v>
      </c>
      <c r="D3" s="78" t="s">
        <v>516</v>
      </c>
      <c r="E3" s="80" t="s">
        <v>1062</v>
      </c>
      <c r="F3" s="89" t="s">
        <v>595</v>
      </c>
      <c r="H3"/>
      <c r="L3" s="29"/>
      <c r="N3"/>
    </row>
    <row r="4" spans="1:14" ht="33.950000000000003">
      <c r="A4" t="s">
        <v>593</v>
      </c>
      <c r="B4" s="85" t="s">
        <v>381</v>
      </c>
      <c r="C4" s="78">
        <v>1</v>
      </c>
      <c r="D4" s="78" t="s">
        <v>518</v>
      </c>
      <c r="E4" s="80" t="s">
        <v>1062</v>
      </c>
      <c r="F4" s="89" t="s">
        <v>595</v>
      </c>
      <c r="H4"/>
      <c r="L4" s="29"/>
      <c r="N4"/>
    </row>
    <row r="5" spans="1:14" ht="30.95">
      <c r="A5" t="s">
        <v>593</v>
      </c>
      <c r="B5" s="86" t="s">
        <v>61</v>
      </c>
      <c r="C5" s="79">
        <v>291</v>
      </c>
      <c r="D5" s="79" t="s">
        <v>514</v>
      </c>
      <c r="E5" s="80" t="s">
        <v>1062</v>
      </c>
      <c r="F5" s="89" t="s">
        <v>71</v>
      </c>
      <c r="H5"/>
      <c r="L5" s="29"/>
      <c r="N5"/>
    </row>
    <row r="6" spans="1:14" ht="30.95">
      <c r="A6" t="s">
        <v>593</v>
      </c>
      <c r="B6" s="86" t="s">
        <v>61</v>
      </c>
      <c r="C6" s="79">
        <v>50</v>
      </c>
      <c r="D6" s="79" t="s">
        <v>516</v>
      </c>
      <c r="E6" s="80" t="s">
        <v>1062</v>
      </c>
      <c r="F6" s="89" t="s">
        <v>71</v>
      </c>
      <c r="H6"/>
      <c r="L6" s="29"/>
      <c r="N6"/>
    </row>
    <row r="7" spans="1:14" ht="30.95">
      <c r="A7" t="s">
        <v>593</v>
      </c>
      <c r="B7" s="86" t="s">
        <v>61</v>
      </c>
      <c r="C7" s="79">
        <v>4</v>
      </c>
      <c r="D7" s="79" t="s">
        <v>518</v>
      </c>
      <c r="E7" s="80" t="s">
        <v>1062</v>
      </c>
      <c r="F7" s="89" t="s">
        <v>71</v>
      </c>
      <c r="H7"/>
      <c r="L7" s="29"/>
      <c r="N7"/>
    </row>
    <row r="8" spans="1:14" ht="30.95">
      <c r="A8" t="s">
        <v>593</v>
      </c>
      <c r="B8" s="86" t="s">
        <v>64</v>
      </c>
      <c r="C8" s="79">
        <v>337</v>
      </c>
      <c r="D8" s="79" t="s">
        <v>514</v>
      </c>
      <c r="E8" s="80" t="s">
        <v>1062</v>
      </c>
      <c r="F8" s="89" t="s">
        <v>71</v>
      </c>
      <c r="H8"/>
      <c r="L8" s="29"/>
      <c r="N8"/>
    </row>
    <row r="9" spans="1:14" ht="30.95">
      <c r="A9" t="s">
        <v>593</v>
      </c>
      <c r="B9" s="86" t="s">
        <v>64</v>
      </c>
      <c r="C9" s="79">
        <v>25</v>
      </c>
      <c r="D9" s="79" t="s">
        <v>516</v>
      </c>
      <c r="E9" s="80" t="s">
        <v>1062</v>
      </c>
      <c r="F9" s="89" t="s">
        <v>71</v>
      </c>
      <c r="H9"/>
      <c r="L9" s="29"/>
      <c r="N9"/>
    </row>
    <row r="10" spans="1:14" ht="30.95">
      <c r="A10" t="s">
        <v>593</v>
      </c>
      <c r="B10" s="86" t="s">
        <v>64</v>
      </c>
      <c r="C10" s="79">
        <v>0</v>
      </c>
      <c r="D10" s="79" t="s">
        <v>518</v>
      </c>
      <c r="E10" s="80" t="s">
        <v>1062</v>
      </c>
      <c r="F10" s="89" t="s">
        <v>71</v>
      </c>
      <c r="H10"/>
      <c r="L10" s="29"/>
      <c r="N10"/>
    </row>
    <row r="11" spans="1:14" ht="30.95">
      <c r="A11" t="s">
        <v>593</v>
      </c>
      <c r="B11" s="86" t="s">
        <v>65</v>
      </c>
      <c r="C11" s="79">
        <v>389</v>
      </c>
      <c r="D11" s="79" t="s">
        <v>514</v>
      </c>
      <c r="E11" s="80" t="s">
        <v>1062</v>
      </c>
      <c r="F11" s="89" t="s">
        <v>71</v>
      </c>
      <c r="H11"/>
      <c r="L11" s="29"/>
      <c r="N11"/>
    </row>
    <row r="12" spans="1:14" ht="30.95">
      <c r="A12" t="s">
        <v>593</v>
      </c>
      <c r="B12" s="86" t="s">
        <v>65</v>
      </c>
      <c r="C12" s="79">
        <v>36</v>
      </c>
      <c r="D12" s="79" t="s">
        <v>516</v>
      </c>
      <c r="E12" s="80" t="s">
        <v>1062</v>
      </c>
      <c r="F12" s="89" t="s">
        <v>71</v>
      </c>
      <c r="H12"/>
      <c r="L12" s="29"/>
      <c r="N12"/>
    </row>
    <row r="13" spans="1:14" ht="30.95">
      <c r="A13" t="s">
        <v>593</v>
      </c>
      <c r="B13" s="86" t="s">
        <v>65</v>
      </c>
      <c r="C13" s="79">
        <v>1</v>
      </c>
      <c r="D13" s="79" t="s">
        <v>518</v>
      </c>
      <c r="E13" s="80" t="s">
        <v>1062</v>
      </c>
      <c r="F13" s="89" t="s">
        <v>71</v>
      </c>
      <c r="H13"/>
      <c r="L13" s="29"/>
      <c r="N13"/>
    </row>
    <row r="14" spans="1:14" ht="60.95">
      <c r="A14" t="s">
        <v>596</v>
      </c>
      <c r="B14" s="85" t="s">
        <v>381</v>
      </c>
      <c r="C14">
        <v>169</v>
      </c>
      <c r="D14" s="78" t="s">
        <v>514</v>
      </c>
      <c r="E14" s="80" t="s">
        <v>1064</v>
      </c>
      <c r="F14" s="89" t="s">
        <v>595</v>
      </c>
      <c r="H14"/>
      <c r="L14" s="29"/>
      <c r="N14"/>
    </row>
    <row r="15" spans="1:14" ht="60.95">
      <c r="A15" t="s">
        <v>596</v>
      </c>
      <c r="B15" s="85" t="s">
        <v>381</v>
      </c>
      <c r="C15">
        <v>34</v>
      </c>
      <c r="D15" s="78" t="s">
        <v>516</v>
      </c>
      <c r="E15" s="80" t="s">
        <v>1064</v>
      </c>
      <c r="F15" s="89" t="s">
        <v>595</v>
      </c>
      <c r="H15"/>
      <c r="L15" s="29"/>
      <c r="N15"/>
    </row>
    <row r="16" spans="1:14" ht="60.95">
      <c r="A16" t="s">
        <v>596</v>
      </c>
      <c r="B16" s="85" t="s">
        <v>381</v>
      </c>
      <c r="C16">
        <v>2</v>
      </c>
      <c r="D16" s="78" t="s">
        <v>518</v>
      </c>
      <c r="E16" s="80" t="s">
        <v>1064</v>
      </c>
      <c r="F16" s="89" t="s">
        <v>595</v>
      </c>
      <c r="H16"/>
      <c r="L16" s="29"/>
      <c r="N16"/>
    </row>
    <row r="17" spans="1:14" ht="60.95">
      <c r="A17" t="s">
        <v>596</v>
      </c>
      <c r="B17" s="86" t="s">
        <v>61</v>
      </c>
      <c r="C17">
        <v>291</v>
      </c>
      <c r="D17" s="79" t="s">
        <v>514</v>
      </c>
      <c r="E17" s="80" t="s">
        <v>1064</v>
      </c>
      <c r="F17" s="89" t="s">
        <v>71</v>
      </c>
      <c r="H17"/>
      <c r="L17" s="29"/>
      <c r="N17"/>
    </row>
    <row r="18" spans="1:14" ht="60.95">
      <c r="A18" t="s">
        <v>596</v>
      </c>
      <c r="B18" s="86" t="s">
        <v>61</v>
      </c>
      <c r="C18">
        <v>46.153846153846153</v>
      </c>
      <c r="D18" s="79" t="s">
        <v>516</v>
      </c>
      <c r="E18" s="80" t="s">
        <v>1064</v>
      </c>
      <c r="F18" s="89" t="s">
        <v>71</v>
      </c>
      <c r="H18"/>
      <c r="L18" s="29"/>
      <c r="N18"/>
    </row>
    <row r="19" spans="1:14" ht="60.95">
      <c r="A19" t="s">
        <v>596</v>
      </c>
      <c r="B19" s="86" t="s">
        <v>61</v>
      </c>
      <c r="C19">
        <v>4</v>
      </c>
      <c r="D19" s="79" t="s">
        <v>518</v>
      </c>
      <c r="E19" s="80" t="s">
        <v>1064</v>
      </c>
      <c r="F19" s="89" t="s">
        <v>71</v>
      </c>
      <c r="H19"/>
      <c r="L19" s="29"/>
      <c r="N19"/>
    </row>
    <row r="20" spans="1:14" ht="60.95">
      <c r="A20" t="s">
        <v>596</v>
      </c>
      <c r="B20" s="86" t="s">
        <v>64</v>
      </c>
      <c r="C20">
        <v>0</v>
      </c>
      <c r="D20" s="79" t="s">
        <v>514</v>
      </c>
      <c r="E20" s="80" t="s">
        <v>1064</v>
      </c>
      <c r="F20" s="89" t="s">
        <v>71</v>
      </c>
      <c r="H20"/>
      <c r="L20" s="29"/>
      <c r="N20"/>
    </row>
    <row r="21" spans="1:14" ht="60.95">
      <c r="A21" t="s">
        <v>596</v>
      </c>
      <c r="B21" s="86" t="s">
        <v>64</v>
      </c>
      <c r="C21">
        <v>22.727272727272727</v>
      </c>
      <c r="D21" s="79" t="s">
        <v>516</v>
      </c>
      <c r="E21" s="80" t="s">
        <v>1064</v>
      </c>
      <c r="F21" s="89" t="s">
        <v>71</v>
      </c>
      <c r="H21"/>
      <c r="L21" s="29"/>
      <c r="N21"/>
    </row>
    <row r="22" spans="1:14" ht="60.95">
      <c r="A22" t="s">
        <v>596</v>
      </c>
      <c r="B22" s="86" t="s">
        <v>64</v>
      </c>
      <c r="C22">
        <v>0</v>
      </c>
      <c r="D22" s="79" t="s">
        <v>518</v>
      </c>
      <c r="E22" s="80" t="s">
        <v>1064</v>
      </c>
      <c r="F22" s="89" t="s">
        <v>71</v>
      </c>
      <c r="H22"/>
      <c r="L22" s="29"/>
      <c r="N22"/>
    </row>
    <row r="23" spans="1:14" ht="60.95">
      <c r="A23" t="s">
        <v>596</v>
      </c>
      <c r="B23" s="86" t="s">
        <v>65</v>
      </c>
      <c r="C23">
        <v>0</v>
      </c>
      <c r="D23" s="79" t="s">
        <v>514</v>
      </c>
      <c r="E23" s="80" t="s">
        <v>1064</v>
      </c>
      <c r="F23" s="89" t="s">
        <v>71</v>
      </c>
      <c r="H23"/>
      <c r="L23" s="29"/>
      <c r="N23"/>
    </row>
    <row r="24" spans="1:14" ht="60.95">
      <c r="A24" t="s">
        <v>596</v>
      </c>
      <c r="B24" s="86" t="s">
        <v>65</v>
      </c>
      <c r="C24">
        <v>72</v>
      </c>
      <c r="D24" s="79" t="s">
        <v>516</v>
      </c>
      <c r="E24" s="80" t="s">
        <v>1064</v>
      </c>
      <c r="F24" s="89" t="s">
        <v>71</v>
      </c>
      <c r="H24"/>
      <c r="L24" s="29"/>
      <c r="N24"/>
    </row>
    <row r="25" spans="1:14" ht="60.95">
      <c r="A25" t="s">
        <v>596</v>
      </c>
      <c r="B25" s="86" t="s">
        <v>65</v>
      </c>
      <c r="C25">
        <v>3</v>
      </c>
      <c r="D25" s="79" t="s">
        <v>518</v>
      </c>
      <c r="E25" s="80" t="s">
        <v>1064</v>
      </c>
      <c r="F25" s="89" t="s">
        <v>71</v>
      </c>
      <c r="H25"/>
      <c r="L25" s="29"/>
      <c r="N25"/>
    </row>
    <row r="26" spans="1:14" ht="45.95">
      <c r="A26" t="s">
        <v>598</v>
      </c>
      <c r="B26" s="85" t="s">
        <v>381</v>
      </c>
      <c r="C26" s="78">
        <v>0</v>
      </c>
      <c r="D26" s="78" t="s">
        <v>514</v>
      </c>
      <c r="E26" s="80" t="s">
        <v>1065</v>
      </c>
      <c r="F26" s="89" t="s">
        <v>595</v>
      </c>
      <c r="H26"/>
      <c r="L26" s="29"/>
      <c r="N26"/>
    </row>
    <row r="27" spans="1:14" ht="45.95">
      <c r="A27" t="s">
        <v>598</v>
      </c>
      <c r="B27" s="85" t="s">
        <v>381</v>
      </c>
      <c r="C27" s="78">
        <v>0</v>
      </c>
      <c r="D27" s="78" t="s">
        <v>516</v>
      </c>
      <c r="E27" s="80" t="s">
        <v>1065</v>
      </c>
      <c r="F27" s="89" t="s">
        <v>595</v>
      </c>
      <c r="H27"/>
      <c r="L27" s="29"/>
      <c r="N27"/>
    </row>
    <row r="28" spans="1:14" ht="45.95">
      <c r="A28" t="s">
        <v>598</v>
      </c>
      <c r="B28" s="85" t="s">
        <v>381</v>
      </c>
      <c r="C28" s="78">
        <v>0</v>
      </c>
      <c r="D28" s="78" t="s">
        <v>518</v>
      </c>
      <c r="E28" s="80" t="s">
        <v>1065</v>
      </c>
      <c r="F28" s="89" t="s">
        <v>595</v>
      </c>
      <c r="H28"/>
      <c r="L28" s="29"/>
      <c r="N28"/>
    </row>
    <row r="29" spans="1:14" ht="45.95">
      <c r="A29" t="s">
        <v>598</v>
      </c>
      <c r="B29" s="86" t="s">
        <v>61</v>
      </c>
      <c r="C29" s="79">
        <v>0</v>
      </c>
      <c r="D29" s="79" t="s">
        <v>514</v>
      </c>
      <c r="E29" s="80" t="s">
        <v>1065</v>
      </c>
      <c r="F29" s="89" t="s">
        <v>71</v>
      </c>
      <c r="H29"/>
      <c r="L29" s="29"/>
      <c r="N29"/>
    </row>
    <row r="30" spans="1:14" ht="45.95">
      <c r="A30" t="s">
        <v>598</v>
      </c>
      <c r="B30" s="86" t="s">
        <v>61</v>
      </c>
      <c r="C30" s="82">
        <v>3.3333333333333335</v>
      </c>
      <c r="D30" s="79" t="s">
        <v>516</v>
      </c>
      <c r="E30" s="80" t="s">
        <v>1065</v>
      </c>
      <c r="F30" s="89" t="s">
        <v>71</v>
      </c>
      <c r="H30"/>
      <c r="L30" s="29"/>
      <c r="N30"/>
    </row>
    <row r="31" spans="1:14" ht="45.95">
      <c r="A31" t="s">
        <v>598</v>
      </c>
      <c r="B31" s="86" t="s">
        <v>61</v>
      </c>
      <c r="C31" s="79">
        <v>0</v>
      </c>
      <c r="D31" s="79" t="s">
        <v>518</v>
      </c>
      <c r="E31" s="80" t="s">
        <v>1065</v>
      </c>
      <c r="F31" s="89" t="s">
        <v>71</v>
      </c>
      <c r="H31"/>
      <c r="L31" s="29"/>
      <c r="N31"/>
    </row>
    <row r="32" spans="1:14" ht="45.95">
      <c r="A32" t="s">
        <v>598</v>
      </c>
      <c r="B32" s="86" t="s">
        <v>64</v>
      </c>
      <c r="C32" s="79">
        <v>0</v>
      </c>
      <c r="D32" s="79" t="s">
        <v>514</v>
      </c>
      <c r="E32" s="80" t="s">
        <v>1065</v>
      </c>
      <c r="F32" s="89" t="s">
        <v>71</v>
      </c>
      <c r="H32"/>
      <c r="L32" s="29"/>
      <c r="N32"/>
    </row>
    <row r="33" spans="1:14" ht="45.95">
      <c r="A33" t="s">
        <v>598</v>
      </c>
      <c r="B33" s="86" t="s">
        <v>64</v>
      </c>
      <c r="C33" s="79">
        <v>0</v>
      </c>
      <c r="D33" s="79" t="s">
        <v>516</v>
      </c>
      <c r="E33" s="80" t="s">
        <v>1065</v>
      </c>
      <c r="F33" s="89" t="s">
        <v>71</v>
      </c>
      <c r="H33"/>
      <c r="L33" s="29"/>
      <c r="N33"/>
    </row>
    <row r="34" spans="1:14" ht="45.95">
      <c r="A34" t="s">
        <v>598</v>
      </c>
      <c r="B34" s="86" t="s">
        <v>64</v>
      </c>
      <c r="C34" s="79">
        <v>0</v>
      </c>
      <c r="D34" s="79" t="s">
        <v>518</v>
      </c>
      <c r="E34" s="80" t="s">
        <v>1065</v>
      </c>
      <c r="F34" s="89" t="s">
        <v>71</v>
      </c>
      <c r="H34"/>
      <c r="L34" s="29"/>
      <c r="N34"/>
    </row>
    <row r="35" spans="1:14" ht="45.95">
      <c r="A35" t="s">
        <v>598</v>
      </c>
      <c r="B35" s="86" t="s">
        <v>65</v>
      </c>
      <c r="C35" s="79"/>
      <c r="D35" s="79" t="s">
        <v>514</v>
      </c>
      <c r="E35" s="80" t="s">
        <v>1065</v>
      </c>
      <c r="F35" s="89" t="s">
        <v>71</v>
      </c>
      <c r="H35"/>
      <c r="L35" s="29"/>
      <c r="N35"/>
    </row>
    <row r="36" spans="1:14" ht="45.95">
      <c r="A36" t="s">
        <v>598</v>
      </c>
      <c r="B36" s="86" t="s">
        <v>65</v>
      </c>
      <c r="C36" s="79"/>
      <c r="D36" s="79" t="s">
        <v>516</v>
      </c>
      <c r="E36" s="80" t="s">
        <v>1065</v>
      </c>
      <c r="F36" s="89" t="s">
        <v>71</v>
      </c>
      <c r="H36"/>
      <c r="L36" s="29"/>
      <c r="N36"/>
    </row>
    <row r="37" spans="1:14" ht="45.95">
      <c r="A37" t="s">
        <v>598</v>
      </c>
      <c r="B37" s="86" t="s">
        <v>65</v>
      </c>
      <c r="C37" s="79"/>
      <c r="D37" s="79" t="s">
        <v>518</v>
      </c>
      <c r="E37" s="80" t="s">
        <v>1065</v>
      </c>
      <c r="F37" s="89" t="s">
        <v>71</v>
      </c>
      <c r="H37"/>
      <c r="L37" s="29"/>
      <c r="N37"/>
    </row>
    <row r="38" spans="1:14" ht="45.95">
      <c r="A38" t="s">
        <v>600</v>
      </c>
      <c r="B38" s="85" t="s">
        <v>381</v>
      </c>
      <c r="C38">
        <v>0</v>
      </c>
      <c r="D38" s="78" t="s">
        <v>514</v>
      </c>
      <c r="E38" s="80" t="s">
        <v>1066</v>
      </c>
      <c r="F38" s="89" t="s">
        <v>595</v>
      </c>
      <c r="H38"/>
      <c r="L38" s="29"/>
      <c r="N38"/>
    </row>
    <row r="39" spans="1:14" ht="45.95">
      <c r="A39" t="s">
        <v>600</v>
      </c>
      <c r="B39" s="85" t="s">
        <v>381</v>
      </c>
      <c r="C39">
        <v>25</v>
      </c>
      <c r="D39" s="78" t="s">
        <v>516</v>
      </c>
      <c r="E39" s="80" t="s">
        <v>1066</v>
      </c>
      <c r="F39" s="89" t="s">
        <v>595</v>
      </c>
      <c r="H39"/>
      <c r="L39" s="29"/>
      <c r="N39"/>
    </row>
    <row r="40" spans="1:14" ht="45.95">
      <c r="A40" t="s">
        <v>600</v>
      </c>
      <c r="B40" s="85" t="s">
        <v>381</v>
      </c>
      <c r="C40">
        <v>7</v>
      </c>
      <c r="D40" s="78" t="s">
        <v>518</v>
      </c>
      <c r="E40" s="80" t="s">
        <v>1066</v>
      </c>
      <c r="F40" s="89" t="s">
        <v>595</v>
      </c>
      <c r="H40"/>
      <c r="L40" s="29"/>
      <c r="N40"/>
    </row>
    <row r="41" spans="1:14" ht="45.95">
      <c r="A41" t="s">
        <v>600</v>
      </c>
      <c r="B41" s="86" t="s">
        <v>61</v>
      </c>
      <c r="C41">
        <v>0</v>
      </c>
      <c r="D41" s="79" t="s">
        <v>514</v>
      </c>
      <c r="E41" s="80" t="s">
        <v>1066</v>
      </c>
      <c r="F41" s="89" t="s">
        <v>71</v>
      </c>
      <c r="H41"/>
      <c r="L41" s="29"/>
      <c r="N41"/>
    </row>
    <row r="42" spans="1:14" ht="45.95">
      <c r="A42" t="s">
        <v>600</v>
      </c>
      <c r="B42" s="86" t="s">
        <v>61</v>
      </c>
      <c r="C42">
        <v>6.666666666666667</v>
      </c>
      <c r="D42" s="79" t="s">
        <v>516</v>
      </c>
      <c r="E42" s="80" t="s">
        <v>1066</v>
      </c>
      <c r="F42" s="89" t="s">
        <v>71</v>
      </c>
      <c r="H42"/>
      <c r="L42" s="29"/>
      <c r="N42"/>
    </row>
    <row r="43" spans="1:14" ht="45.95">
      <c r="A43" t="s">
        <v>600</v>
      </c>
      <c r="B43" s="86" t="s">
        <v>61</v>
      </c>
      <c r="C43">
        <v>0</v>
      </c>
      <c r="D43" s="79" t="s">
        <v>518</v>
      </c>
      <c r="E43" s="80" t="s">
        <v>1066</v>
      </c>
      <c r="F43" s="89" t="s">
        <v>71</v>
      </c>
      <c r="H43"/>
      <c r="L43" s="29"/>
      <c r="N43"/>
    </row>
    <row r="44" spans="1:14" ht="45.95">
      <c r="A44" t="s">
        <v>600</v>
      </c>
      <c r="B44" s="86" t="s">
        <v>64</v>
      </c>
      <c r="C44">
        <v>0</v>
      </c>
      <c r="D44" s="79" t="s">
        <v>514</v>
      </c>
      <c r="E44" s="80" t="s">
        <v>1066</v>
      </c>
      <c r="F44" s="89" t="s">
        <v>71</v>
      </c>
      <c r="H44"/>
      <c r="L44" s="29"/>
      <c r="N44"/>
    </row>
    <row r="45" spans="1:14" ht="45.95">
      <c r="A45" t="s">
        <v>600</v>
      </c>
      <c r="B45" s="86" t="s">
        <v>64</v>
      </c>
      <c r="C45">
        <v>5.7692307692307692</v>
      </c>
      <c r="D45" s="79" t="s">
        <v>516</v>
      </c>
      <c r="E45" s="80" t="s">
        <v>1066</v>
      </c>
      <c r="F45" s="89" t="s">
        <v>71</v>
      </c>
      <c r="H45"/>
      <c r="L45" s="29"/>
      <c r="N45"/>
    </row>
    <row r="46" spans="1:14" ht="45.95">
      <c r="A46" t="s">
        <v>600</v>
      </c>
      <c r="B46" s="86" t="s">
        <v>64</v>
      </c>
      <c r="C46">
        <v>0</v>
      </c>
      <c r="D46" s="79" t="s">
        <v>518</v>
      </c>
      <c r="E46" s="80" t="s">
        <v>1066</v>
      </c>
      <c r="F46" s="89" t="s">
        <v>71</v>
      </c>
      <c r="H46"/>
      <c r="L46" s="29"/>
      <c r="N46"/>
    </row>
    <row r="47" spans="1:14" ht="45.95">
      <c r="A47" t="s">
        <v>600</v>
      </c>
      <c r="B47" s="86" t="s">
        <v>65</v>
      </c>
      <c r="D47" s="79" t="s">
        <v>514</v>
      </c>
      <c r="E47" s="80" t="s">
        <v>1066</v>
      </c>
      <c r="F47" s="89" t="s">
        <v>71</v>
      </c>
      <c r="H47"/>
      <c r="L47" s="29"/>
      <c r="N47"/>
    </row>
    <row r="48" spans="1:14" ht="45.95">
      <c r="A48" t="s">
        <v>600</v>
      </c>
      <c r="B48" s="86" t="s">
        <v>65</v>
      </c>
      <c r="D48" s="79" t="s">
        <v>516</v>
      </c>
      <c r="E48" s="80" t="s">
        <v>1066</v>
      </c>
      <c r="F48" s="89" t="s">
        <v>71</v>
      </c>
      <c r="H48"/>
      <c r="L48" s="29"/>
      <c r="N48"/>
    </row>
    <row r="49" spans="1:14" ht="45.95">
      <c r="A49" t="s">
        <v>600</v>
      </c>
      <c r="B49" s="86" t="s">
        <v>65</v>
      </c>
      <c r="D49" s="79" t="s">
        <v>518</v>
      </c>
      <c r="E49" s="80" t="s">
        <v>1066</v>
      </c>
      <c r="F49" s="89" t="s">
        <v>71</v>
      </c>
      <c r="H49"/>
      <c r="L49" s="29"/>
      <c r="N49"/>
    </row>
    <row r="50" spans="1:14">
      <c r="A50" t="s">
        <v>602</v>
      </c>
      <c r="B50" s="85" t="s">
        <v>381</v>
      </c>
      <c r="D50" s="78" t="s">
        <v>514</v>
      </c>
      <c r="E50" s="83"/>
      <c r="F50" s="88"/>
      <c r="H50"/>
      <c r="L50" s="29"/>
      <c r="N50"/>
    </row>
    <row r="51" spans="1:14">
      <c r="A51" t="s">
        <v>602</v>
      </c>
      <c r="B51" s="85" t="s">
        <v>381</v>
      </c>
      <c r="D51" s="78" t="s">
        <v>516</v>
      </c>
      <c r="E51" s="83"/>
      <c r="F51" s="88"/>
      <c r="H51"/>
      <c r="L51" s="29"/>
      <c r="N51"/>
    </row>
    <row r="52" spans="1:14">
      <c r="A52" t="s">
        <v>602</v>
      </c>
      <c r="B52" s="85" t="s">
        <v>381</v>
      </c>
      <c r="D52" s="78" t="s">
        <v>518</v>
      </c>
      <c r="E52" s="83"/>
      <c r="F52" s="88"/>
      <c r="H52"/>
      <c r="L52" s="29"/>
      <c r="N52"/>
    </row>
    <row r="53" spans="1:14" ht="32.1">
      <c r="A53" t="s">
        <v>602</v>
      </c>
      <c r="B53" s="86" t="s">
        <v>61</v>
      </c>
      <c r="C53">
        <v>0</v>
      </c>
      <c r="D53" s="79" t="s">
        <v>514</v>
      </c>
      <c r="E53" s="83" t="s">
        <v>1067</v>
      </c>
      <c r="F53" s="89" t="s">
        <v>71</v>
      </c>
      <c r="H53"/>
      <c r="L53" s="29"/>
      <c r="N53"/>
    </row>
    <row r="54" spans="1:14" ht="32.1">
      <c r="A54" t="s">
        <v>602</v>
      </c>
      <c r="B54" s="86" t="s">
        <v>61</v>
      </c>
      <c r="C54">
        <v>50</v>
      </c>
      <c r="D54" s="79" t="s">
        <v>516</v>
      </c>
      <c r="E54" s="83" t="s">
        <v>1067</v>
      </c>
      <c r="F54" s="89" t="s">
        <v>71</v>
      </c>
      <c r="H54"/>
      <c r="L54" s="29"/>
      <c r="N54"/>
    </row>
    <row r="55" spans="1:14" ht="32.1">
      <c r="A55" t="s">
        <v>602</v>
      </c>
      <c r="B55" s="86" t="s">
        <v>61</v>
      </c>
      <c r="C55">
        <v>0</v>
      </c>
      <c r="D55" s="79" t="s">
        <v>518</v>
      </c>
      <c r="E55" s="83" t="s">
        <v>1067</v>
      </c>
      <c r="F55" s="89" t="s">
        <v>71</v>
      </c>
      <c r="H55"/>
      <c r="L55" s="29"/>
      <c r="N55"/>
    </row>
    <row r="56" spans="1:14" ht="32.1">
      <c r="A56" t="s">
        <v>602</v>
      </c>
      <c r="B56" s="86" t="s">
        <v>64</v>
      </c>
      <c r="C56">
        <v>19.823529411764707</v>
      </c>
      <c r="D56" s="79" t="s">
        <v>514</v>
      </c>
      <c r="E56" s="83" t="s">
        <v>1067</v>
      </c>
      <c r="F56" s="89" t="s">
        <v>71</v>
      </c>
      <c r="H56"/>
      <c r="L56" s="29"/>
      <c r="N56"/>
    </row>
    <row r="57" spans="1:14" ht="32.1">
      <c r="A57" t="s">
        <v>602</v>
      </c>
      <c r="B57" s="86" t="s">
        <v>64</v>
      </c>
      <c r="C57">
        <v>96.15384615384616</v>
      </c>
      <c r="D57" s="79" t="s">
        <v>516</v>
      </c>
      <c r="E57" s="83" t="s">
        <v>1067</v>
      </c>
      <c r="F57" s="89" t="s">
        <v>71</v>
      </c>
      <c r="H57"/>
      <c r="L57" s="29"/>
      <c r="N57"/>
    </row>
    <row r="58" spans="1:14" ht="32.1">
      <c r="A58" t="s">
        <v>602</v>
      </c>
      <c r="B58" s="86" t="s">
        <v>64</v>
      </c>
      <c r="C58">
        <v>0</v>
      </c>
      <c r="D58" s="79" t="s">
        <v>518</v>
      </c>
      <c r="E58" s="83" t="s">
        <v>1067</v>
      </c>
      <c r="F58" s="89" t="s">
        <v>71</v>
      </c>
      <c r="H58"/>
      <c r="L58" s="29"/>
      <c r="N58"/>
    </row>
    <row r="59" spans="1:14" ht="32.1">
      <c r="A59" t="s">
        <v>602</v>
      </c>
      <c r="B59" s="86" t="s">
        <v>65</v>
      </c>
      <c r="D59" s="79" t="s">
        <v>514</v>
      </c>
      <c r="E59" s="83" t="s">
        <v>1067</v>
      </c>
      <c r="F59" s="89" t="s">
        <v>71</v>
      </c>
      <c r="H59"/>
      <c r="L59" s="29"/>
      <c r="N59"/>
    </row>
    <row r="60" spans="1:14" ht="32.1">
      <c r="A60" t="s">
        <v>602</v>
      </c>
      <c r="B60" s="86" t="s">
        <v>65</v>
      </c>
      <c r="D60" s="79" t="s">
        <v>516</v>
      </c>
      <c r="E60" s="83" t="s">
        <v>1067</v>
      </c>
      <c r="F60" s="89" t="s">
        <v>71</v>
      </c>
      <c r="H60"/>
      <c r="L60" s="29"/>
      <c r="N60"/>
    </row>
    <row r="61" spans="1:14" ht="32.1">
      <c r="A61" t="s">
        <v>602</v>
      </c>
      <c r="B61" s="86" t="s">
        <v>65</v>
      </c>
      <c r="D61" s="79" t="s">
        <v>518</v>
      </c>
      <c r="E61" s="83" t="s">
        <v>1067</v>
      </c>
      <c r="F61" s="89" t="s">
        <v>71</v>
      </c>
      <c r="H61"/>
      <c r="L61" s="29"/>
      <c r="N61"/>
    </row>
    <row r="62" spans="1:14">
      <c r="A62" t="s">
        <v>604</v>
      </c>
      <c r="B62" s="85" t="s">
        <v>381</v>
      </c>
      <c r="D62" s="78" t="s">
        <v>514</v>
      </c>
      <c r="E62" s="83"/>
      <c r="F62" s="88"/>
      <c r="H62"/>
      <c r="L62" s="29"/>
      <c r="N62"/>
    </row>
    <row r="63" spans="1:14">
      <c r="A63" t="s">
        <v>604</v>
      </c>
      <c r="B63" s="85" t="s">
        <v>381</v>
      </c>
      <c r="D63" s="78" t="s">
        <v>516</v>
      </c>
      <c r="E63" s="83"/>
      <c r="F63" s="88"/>
      <c r="H63"/>
      <c r="L63" s="29"/>
      <c r="N63"/>
    </row>
    <row r="64" spans="1:14">
      <c r="A64" t="s">
        <v>604</v>
      </c>
      <c r="B64" s="85" t="s">
        <v>381</v>
      </c>
      <c r="D64" s="78" t="s">
        <v>518</v>
      </c>
      <c r="E64" s="83"/>
      <c r="F64" s="88"/>
      <c r="H64"/>
      <c r="L64" s="29"/>
      <c r="N64"/>
    </row>
    <row r="65" spans="1:14" ht="32.1">
      <c r="A65" t="s">
        <v>604</v>
      </c>
      <c r="B65" s="86" t="s">
        <v>61</v>
      </c>
      <c r="C65">
        <v>671.53846153846143</v>
      </c>
      <c r="D65" s="79" t="s">
        <v>514</v>
      </c>
      <c r="E65" s="83" t="s">
        <v>1068</v>
      </c>
      <c r="F65" s="89" t="s">
        <v>71</v>
      </c>
      <c r="H65"/>
      <c r="L65" s="29"/>
      <c r="N65"/>
    </row>
    <row r="66" spans="1:14" ht="32.1">
      <c r="A66" t="s">
        <v>604</v>
      </c>
      <c r="B66" s="86" t="s">
        <v>61</v>
      </c>
      <c r="C66">
        <v>383.33333333333337</v>
      </c>
      <c r="D66" s="79" t="s">
        <v>516</v>
      </c>
      <c r="E66" s="83" t="s">
        <v>1068</v>
      </c>
      <c r="F66" s="89" t="s">
        <v>71</v>
      </c>
      <c r="H66"/>
      <c r="L66" s="29"/>
      <c r="N66"/>
    </row>
    <row r="67" spans="1:14" ht="32.1">
      <c r="A67" t="s">
        <v>604</v>
      </c>
      <c r="B67" s="86" t="s">
        <v>61</v>
      </c>
      <c r="C67">
        <v>0</v>
      </c>
      <c r="D67" s="79" t="s">
        <v>518</v>
      </c>
      <c r="E67" s="83" t="s">
        <v>1068</v>
      </c>
      <c r="F67" s="89" t="s">
        <v>71</v>
      </c>
      <c r="H67"/>
      <c r="L67" s="29"/>
      <c r="N67"/>
    </row>
    <row r="68" spans="1:14" ht="32.1">
      <c r="A68" t="s">
        <v>604</v>
      </c>
      <c r="B68" s="86" t="s">
        <v>64</v>
      </c>
      <c r="C68">
        <v>634.35294117647061</v>
      </c>
      <c r="D68" s="79" t="s">
        <v>514</v>
      </c>
      <c r="E68" s="83" t="s">
        <v>1068</v>
      </c>
      <c r="F68" s="89" t="s">
        <v>71</v>
      </c>
      <c r="H68"/>
      <c r="L68" s="29"/>
      <c r="N68"/>
    </row>
    <row r="69" spans="1:14" ht="32.1">
      <c r="A69" t="s">
        <v>604</v>
      </c>
      <c r="B69" s="86" t="s">
        <v>64</v>
      </c>
      <c r="C69">
        <v>250</v>
      </c>
      <c r="D69" s="79" t="s">
        <v>516</v>
      </c>
      <c r="E69" s="83" t="s">
        <v>1068</v>
      </c>
      <c r="F69" s="89" t="s">
        <v>71</v>
      </c>
      <c r="H69"/>
      <c r="L69" s="29"/>
      <c r="N69"/>
    </row>
    <row r="70" spans="1:14" ht="32.1">
      <c r="A70" t="s">
        <v>604</v>
      </c>
      <c r="B70" s="86" t="s">
        <v>64</v>
      </c>
      <c r="C70">
        <v>0</v>
      </c>
      <c r="D70" s="79" t="s">
        <v>518</v>
      </c>
      <c r="E70" s="83" t="s">
        <v>1068</v>
      </c>
      <c r="F70" s="89" t="s">
        <v>71</v>
      </c>
      <c r="H70"/>
      <c r="L70" s="29"/>
      <c r="N70"/>
    </row>
    <row r="71" spans="1:14" ht="32.1">
      <c r="A71" t="s">
        <v>604</v>
      </c>
      <c r="B71" s="86" t="s">
        <v>65</v>
      </c>
      <c r="D71" s="79" t="s">
        <v>514</v>
      </c>
      <c r="E71" s="83" t="s">
        <v>1068</v>
      </c>
      <c r="F71" s="89" t="s">
        <v>71</v>
      </c>
      <c r="H71"/>
      <c r="L71" s="29"/>
      <c r="N71"/>
    </row>
    <row r="72" spans="1:14" ht="32.1">
      <c r="A72" t="s">
        <v>604</v>
      </c>
      <c r="B72" s="86" t="s">
        <v>65</v>
      </c>
      <c r="D72" s="79" t="s">
        <v>516</v>
      </c>
      <c r="E72" s="83" t="s">
        <v>1068</v>
      </c>
      <c r="F72" s="89" t="s">
        <v>71</v>
      </c>
      <c r="H72"/>
      <c r="L72" s="29"/>
      <c r="N72"/>
    </row>
    <row r="73" spans="1:14" ht="32.1">
      <c r="A73" t="s">
        <v>604</v>
      </c>
      <c r="B73" s="86" t="s">
        <v>65</v>
      </c>
      <c r="D73" s="79" t="s">
        <v>518</v>
      </c>
      <c r="E73" s="83" t="s">
        <v>1068</v>
      </c>
      <c r="F73" s="89" t="s">
        <v>71</v>
      </c>
      <c r="H73"/>
      <c r="L73" s="29"/>
      <c r="N73"/>
    </row>
    <row r="74" spans="1:14" ht="48">
      <c r="A74" t="s">
        <v>606</v>
      </c>
      <c r="B74" s="85" t="s">
        <v>381</v>
      </c>
      <c r="C74">
        <v>1057</v>
      </c>
      <c r="D74" s="78" t="s">
        <v>514</v>
      </c>
      <c r="E74" s="83" t="s">
        <v>1069</v>
      </c>
      <c r="F74" s="88" t="s">
        <v>608</v>
      </c>
      <c r="H74"/>
      <c r="L74" s="29"/>
      <c r="N74"/>
    </row>
    <row r="75" spans="1:14" ht="48">
      <c r="A75" t="s">
        <v>606</v>
      </c>
      <c r="B75" s="85" t="s">
        <v>381</v>
      </c>
      <c r="C75">
        <v>147</v>
      </c>
      <c r="D75" s="78" t="s">
        <v>516</v>
      </c>
      <c r="E75" s="83" t="s">
        <v>1069</v>
      </c>
      <c r="F75" s="88" t="s">
        <v>608</v>
      </c>
      <c r="H75"/>
      <c r="L75" s="29"/>
      <c r="N75"/>
    </row>
    <row r="76" spans="1:14" ht="48">
      <c r="A76" t="s">
        <v>606</v>
      </c>
      <c r="B76" s="85" t="s">
        <v>381</v>
      </c>
      <c r="C76">
        <v>57</v>
      </c>
      <c r="D76" s="78" t="s">
        <v>518</v>
      </c>
      <c r="E76" s="83" t="s">
        <v>1069</v>
      </c>
      <c r="F76" s="88" t="s">
        <v>608</v>
      </c>
      <c r="H76"/>
      <c r="L76" s="29"/>
      <c r="N76"/>
    </row>
    <row r="77" spans="1:14" ht="48">
      <c r="A77" t="s">
        <v>606</v>
      </c>
      <c r="B77" s="86" t="s">
        <v>61</v>
      </c>
      <c r="C77">
        <v>1566.9230769230771</v>
      </c>
      <c r="D77" s="79" t="s">
        <v>514</v>
      </c>
      <c r="E77" s="83" t="s">
        <v>1069</v>
      </c>
      <c r="F77" s="89" t="s">
        <v>71</v>
      </c>
      <c r="H77"/>
      <c r="L77" s="29"/>
      <c r="N77"/>
    </row>
    <row r="78" spans="1:14" ht="48">
      <c r="A78" t="s">
        <v>606</v>
      </c>
      <c r="B78" s="86" t="s">
        <v>61</v>
      </c>
      <c r="C78">
        <v>803.33333333333337</v>
      </c>
      <c r="D78" s="79" t="s">
        <v>516</v>
      </c>
      <c r="E78" s="83" t="s">
        <v>1069</v>
      </c>
      <c r="F78" s="89" t="s">
        <v>71</v>
      </c>
      <c r="H78"/>
      <c r="L78" s="29"/>
      <c r="N78"/>
    </row>
    <row r="79" spans="1:14" ht="48">
      <c r="A79" t="s">
        <v>606</v>
      </c>
      <c r="B79" s="86" t="s">
        <v>61</v>
      </c>
      <c r="C79">
        <v>0</v>
      </c>
      <c r="D79" s="79" t="s">
        <v>518</v>
      </c>
      <c r="E79" s="83" t="s">
        <v>1069</v>
      </c>
      <c r="F79" s="89" t="s">
        <v>71</v>
      </c>
      <c r="H79"/>
      <c r="L79" s="29"/>
      <c r="N79"/>
    </row>
    <row r="80" spans="1:14" ht="48">
      <c r="A80" t="s">
        <v>606</v>
      </c>
      <c r="B80" s="86" t="s">
        <v>64</v>
      </c>
      <c r="C80">
        <v>1466.9411764705881</v>
      </c>
      <c r="D80" s="79" t="s">
        <v>514</v>
      </c>
      <c r="E80" s="83" t="s">
        <v>1069</v>
      </c>
      <c r="F80" s="89" t="s">
        <v>71</v>
      </c>
      <c r="H80"/>
      <c r="L80" s="29"/>
      <c r="N80"/>
    </row>
    <row r="81" spans="1:14" ht="48">
      <c r="A81" t="s">
        <v>606</v>
      </c>
      <c r="B81" s="86" t="s">
        <v>64</v>
      </c>
      <c r="C81">
        <v>665.38461538461547</v>
      </c>
      <c r="D81" s="79" t="s">
        <v>516</v>
      </c>
      <c r="E81" s="83" t="s">
        <v>1069</v>
      </c>
      <c r="F81" s="89" t="s">
        <v>71</v>
      </c>
      <c r="H81"/>
      <c r="L81" s="29"/>
      <c r="N81"/>
    </row>
    <row r="82" spans="1:14" ht="48">
      <c r="A82" t="s">
        <v>606</v>
      </c>
      <c r="B82" s="86" t="s">
        <v>64</v>
      </c>
      <c r="C82">
        <v>0</v>
      </c>
      <c r="D82" s="79" t="s">
        <v>518</v>
      </c>
      <c r="E82" s="83" t="s">
        <v>1069</v>
      </c>
      <c r="F82" s="89" t="s">
        <v>71</v>
      </c>
      <c r="H82"/>
      <c r="L82" s="29"/>
      <c r="N82"/>
    </row>
    <row r="83" spans="1:14" ht="48">
      <c r="A83" t="s">
        <v>606</v>
      </c>
      <c r="B83" s="86" t="s">
        <v>65</v>
      </c>
      <c r="D83" s="79" t="s">
        <v>514</v>
      </c>
      <c r="E83" s="83" t="s">
        <v>1069</v>
      </c>
      <c r="F83" s="89" t="s">
        <v>71</v>
      </c>
      <c r="H83"/>
      <c r="L83" s="29"/>
      <c r="N83"/>
    </row>
    <row r="84" spans="1:14" ht="48">
      <c r="A84" t="s">
        <v>606</v>
      </c>
      <c r="B84" s="86" t="s">
        <v>65</v>
      </c>
      <c r="D84" s="79" t="s">
        <v>516</v>
      </c>
      <c r="E84" s="83" t="s">
        <v>1069</v>
      </c>
      <c r="F84" s="89" t="s">
        <v>71</v>
      </c>
      <c r="H84"/>
      <c r="L84" s="29"/>
      <c r="N84"/>
    </row>
    <row r="85" spans="1:14" ht="48">
      <c r="A85" t="s">
        <v>606</v>
      </c>
      <c r="B85" s="86" t="s">
        <v>65</v>
      </c>
      <c r="D85" s="79" t="s">
        <v>518</v>
      </c>
      <c r="E85" s="83" t="s">
        <v>1069</v>
      </c>
      <c r="F85" s="89" t="s">
        <v>71</v>
      </c>
      <c r="H85"/>
      <c r="L85" s="29"/>
      <c r="N85"/>
    </row>
    <row r="86" spans="1:14" ht="48">
      <c r="A86" t="s">
        <v>609</v>
      </c>
      <c r="B86" s="85" t="s">
        <v>381</v>
      </c>
      <c r="C86">
        <v>0</v>
      </c>
      <c r="D86" s="78" t="s">
        <v>514</v>
      </c>
      <c r="E86" s="83" t="s">
        <v>1070</v>
      </c>
      <c r="F86" s="88" t="s">
        <v>608</v>
      </c>
      <c r="H86"/>
      <c r="L86" s="29"/>
      <c r="N86"/>
    </row>
    <row r="87" spans="1:14" ht="48">
      <c r="A87" t="s">
        <v>609</v>
      </c>
      <c r="B87" s="85" t="s">
        <v>381</v>
      </c>
      <c r="C87">
        <v>20</v>
      </c>
      <c r="D87" s="78" t="s">
        <v>516</v>
      </c>
      <c r="E87" s="83" t="s">
        <v>1070</v>
      </c>
      <c r="F87" s="88" t="s">
        <v>608</v>
      </c>
      <c r="H87"/>
      <c r="L87" s="29"/>
      <c r="N87"/>
    </row>
    <row r="88" spans="1:14" ht="48">
      <c r="A88" t="s">
        <v>609</v>
      </c>
      <c r="B88" s="85" t="s">
        <v>381</v>
      </c>
      <c r="C88">
        <v>11</v>
      </c>
      <c r="D88" s="78" t="s">
        <v>518</v>
      </c>
      <c r="E88" s="83" t="s">
        <v>1070</v>
      </c>
      <c r="F88" s="88" t="s">
        <v>608</v>
      </c>
      <c r="H88"/>
      <c r="L88" s="29"/>
      <c r="N88"/>
    </row>
    <row r="89" spans="1:14" ht="48">
      <c r="A89" t="s">
        <v>609</v>
      </c>
      <c r="B89" s="86" t="s">
        <v>61</v>
      </c>
      <c r="C89">
        <v>0</v>
      </c>
      <c r="D89" s="79" t="s">
        <v>514</v>
      </c>
      <c r="E89" s="83" t="s">
        <v>1070</v>
      </c>
      <c r="F89" s="89" t="s">
        <v>71</v>
      </c>
      <c r="H89"/>
      <c r="L89" s="29"/>
      <c r="N89"/>
    </row>
    <row r="90" spans="1:14" ht="48">
      <c r="A90" t="s">
        <v>609</v>
      </c>
      <c r="B90" s="86" t="s">
        <v>61</v>
      </c>
      <c r="C90">
        <v>0</v>
      </c>
      <c r="D90" s="79" t="s">
        <v>516</v>
      </c>
      <c r="E90" s="83" t="s">
        <v>1070</v>
      </c>
      <c r="F90" s="89" t="s">
        <v>71</v>
      </c>
      <c r="H90"/>
      <c r="L90" s="29"/>
      <c r="N90"/>
    </row>
    <row r="91" spans="1:14" ht="48">
      <c r="A91" t="s">
        <v>609</v>
      </c>
      <c r="B91" s="86" t="s">
        <v>61</v>
      </c>
      <c r="C91">
        <v>0</v>
      </c>
      <c r="D91" s="79" t="s">
        <v>518</v>
      </c>
      <c r="E91" s="83" t="s">
        <v>1070</v>
      </c>
      <c r="F91" s="89" t="s">
        <v>71</v>
      </c>
      <c r="H91"/>
      <c r="L91" s="29"/>
      <c r="N91"/>
    </row>
    <row r="92" spans="1:14" ht="48">
      <c r="A92" t="s">
        <v>609</v>
      </c>
      <c r="B92" s="86" t="s">
        <v>64</v>
      </c>
      <c r="C92">
        <v>0</v>
      </c>
      <c r="D92" s="79" t="s">
        <v>514</v>
      </c>
      <c r="E92" s="83" t="s">
        <v>1070</v>
      </c>
      <c r="F92" s="89" t="s">
        <v>71</v>
      </c>
      <c r="H92"/>
      <c r="L92" s="29"/>
      <c r="N92"/>
    </row>
    <row r="93" spans="1:14" ht="48">
      <c r="A93" t="s">
        <v>609</v>
      </c>
      <c r="B93" s="86" t="s">
        <v>64</v>
      </c>
      <c r="C93">
        <v>7.6923076923076925</v>
      </c>
      <c r="D93" s="79" t="s">
        <v>516</v>
      </c>
      <c r="E93" s="83" t="s">
        <v>1070</v>
      </c>
      <c r="F93" s="89" t="s">
        <v>71</v>
      </c>
      <c r="H93"/>
      <c r="L93" s="29"/>
      <c r="N93"/>
    </row>
    <row r="94" spans="1:14" ht="48">
      <c r="A94" t="s">
        <v>609</v>
      </c>
      <c r="B94" s="86" t="s">
        <v>64</v>
      </c>
      <c r="C94">
        <v>0</v>
      </c>
      <c r="D94" s="79" t="s">
        <v>518</v>
      </c>
      <c r="E94" s="83" t="s">
        <v>1070</v>
      </c>
      <c r="F94" s="89" t="s">
        <v>71</v>
      </c>
      <c r="H94"/>
      <c r="L94" s="29"/>
      <c r="N94"/>
    </row>
    <row r="95" spans="1:14" ht="48">
      <c r="A95" t="s">
        <v>609</v>
      </c>
      <c r="B95" s="86" t="s">
        <v>65</v>
      </c>
      <c r="D95" s="79" t="s">
        <v>514</v>
      </c>
      <c r="E95" s="83" t="s">
        <v>1070</v>
      </c>
      <c r="F95" s="89" t="s">
        <v>71</v>
      </c>
      <c r="H95"/>
      <c r="L95" s="29"/>
      <c r="N95"/>
    </row>
    <row r="96" spans="1:14" ht="48">
      <c r="A96" t="s">
        <v>609</v>
      </c>
      <c r="B96" s="86" t="s">
        <v>65</v>
      </c>
      <c r="D96" s="79" t="s">
        <v>516</v>
      </c>
      <c r="E96" s="83" t="s">
        <v>1070</v>
      </c>
      <c r="F96" s="89" t="s">
        <v>71</v>
      </c>
      <c r="H96"/>
      <c r="L96" s="29"/>
      <c r="N96"/>
    </row>
    <row r="97" spans="1:14" ht="48">
      <c r="A97" t="s">
        <v>609</v>
      </c>
      <c r="B97" s="86" t="s">
        <v>65</v>
      </c>
      <c r="D97" s="79" t="s">
        <v>518</v>
      </c>
      <c r="E97" s="83" t="s">
        <v>1070</v>
      </c>
      <c r="F97" s="89" t="s">
        <v>71</v>
      </c>
      <c r="H97"/>
      <c r="L97" s="29"/>
      <c r="N97"/>
    </row>
  </sheetData>
  <conditionalFormatting sqref="A2:F97">
    <cfRule type="expression" dxfId="50" priority="1">
      <formula>$C2=""</formula>
    </cfRule>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27B4-B9A5-5C44-B15F-8FF461A8229A}">
  <sheetPr>
    <tabColor theme="5"/>
  </sheetPr>
  <dimension ref="A1:G189"/>
  <sheetViews>
    <sheetView showGridLines="0" workbookViewId="0">
      <pane ySplit="1" topLeftCell="A112" activePane="bottomLeft" state="frozen"/>
      <selection pane="bottomLeft" activeCell="J17" sqref="J17:J18"/>
    </sheetView>
  </sheetViews>
  <sheetFormatPr defaultColWidth="11" defaultRowHeight="15.95"/>
  <cols>
    <col min="1" max="1" width="23.625" bestFit="1" customWidth="1"/>
    <col min="2" max="2" width="9.625" bestFit="1" customWidth="1"/>
    <col min="3" max="3" width="8.125" bestFit="1" customWidth="1"/>
    <col min="4" max="4" width="8.375" customWidth="1"/>
    <col min="5" max="5" width="34.625" bestFit="1" customWidth="1"/>
    <col min="6" max="6" width="46" bestFit="1" customWidth="1"/>
    <col min="7" max="7" width="38.5" bestFit="1" customWidth="1"/>
  </cols>
  <sheetData>
    <row r="1" spans="1:7">
      <c r="A1" s="1" t="s">
        <v>89</v>
      </c>
      <c r="B1" s="1" t="s">
        <v>101</v>
      </c>
      <c r="C1" s="1" t="s">
        <v>90</v>
      </c>
      <c r="D1" s="1" t="s">
        <v>100</v>
      </c>
      <c r="E1" s="1" t="s">
        <v>96</v>
      </c>
      <c r="F1" s="1" t="s">
        <v>97</v>
      </c>
      <c r="G1" s="1" t="s">
        <v>98</v>
      </c>
    </row>
    <row r="2" spans="1:7">
      <c r="A2" s="5" t="s">
        <v>414</v>
      </c>
      <c r="B2" s="5" t="s">
        <v>381</v>
      </c>
      <c r="C2" s="5">
        <v>0.70599999999999996</v>
      </c>
      <c r="D2" s="5"/>
      <c r="E2" s="5" t="s">
        <v>415</v>
      </c>
      <c r="G2" s="27" t="s">
        <v>416</v>
      </c>
    </row>
    <row r="3" spans="1:7">
      <c r="A3" s="2" t="s">
        <v>414</v>
      </c>
      <c r="B3" s="2" t="s">
        <v>61</v>
      </c>
      <c r="C3" s="2"/>
      <c r="D3" s="2"/>
      <c r="E3" s="2" t="s">
        <v>415</v>
      </c>
      <c r="G3" s="2"/>
    </row>
    <row r="4" spans="1:7">
      <c r="A4" s="2" t="s">
        <v>414</v>
      </c>
      <c r="B4" s="2" t="s">
        <v>64</v>
      </c>
      <c r="C4" s="2"/>
      <c r="D4" s="2"/>
      <c r="E4" s="2" t="s">
        <v>415</v>
      </c>
      <c r="G4" s="2"/>
    </row>
    <row r="5" spans="1:7">
      <c r="A5" s="2" t="s">
        <v>414</v>
      </c>
      <c r="B5" s="2" t="s">
        <v>65</v>
      </c>
      <c r="C5" s="2"/>
      <c r="D5" s="2"/>
      <c r="E5" s="2" t="s">
        <v>415</v>
      </c>
      <c r="G5" s="2"/>
    </row>
    <row r="6" spans="1:7">
      <c r="A6" s="5" t="s">
        <v>417</v>
      </c>
      <c r="B6" s="5" t="s">
        <v>381</v>
      </c>
      <c r="C6" s="5">
        <v>0.11</v>
      </c>
      <c r="D6" s="5"/>
      <c r="E6" s="5" t="s">
        <v>418</v>
      </c>
      <c r="G6" s="27" t="s">
        <v>416</v>
      </c>
    </row>
    <row r="7" spans="1:7">
      <c r="A7" s="2" t="s">
        <v>417</v>
      </c>
      <c r="B7" s="2" t="s">
        <v>61</v>
      </c>
      <c r="C7" s="2"/>
      <c r="D7" s="2"/>
      <c r="E7" s="2" t="s">
        <v>418</v>
      </c>
      <c r="G7" s="2"/>
    </row>
    <row r="8" spans="1:7">
      <c r="A8" s="2" t="s">
        <v>417</v>
      </c>
      <c r="B8" s="2" t="s">
        <v>64</v>
      </c>
      <c r="C8" s="2"/>
      <c r="D8" s="2"/>
      <c r="E8" s="2" t="s">
        <v>418</v>
      </c>
      <c r="G8" s="2"/>
    </row>
    <row r="9" spans="1:7">
      <c r="A9" s="2" t="s">
        <v>417</v>
      </c>
      <c r="B9" s="2" t="s">
        <v>65</v>
      </c>
      <c r="C9" s="2"/>
      <c r="D9" s="2"/>
      <c r="E9" s="2" t="s">
        <v>418</v>
      </c>
      <c r="G9" s="2"/>
    </row>
    <row r="10" spans="1:7">
      <c r="A10" s="5" t="s">
        <v>419</v>
      </c>
      <c r="B10" s="5" t="s">
        <v>381</v>
      </c>
      <c r="C10" s="5">
        <v>0.16919999999999999</v>
      </c>
      <c r="D10" s="5"/>
      <c r="E10" s="5" t="s">
        <v>420</v>
      </c>
      <c r="G10" s="27" t="s">
        <v>416</v>
      </c>
    </row>
    <row r="11" spans="1:7">
      <c r="A11" s="2" t="s">
        <v>419</v>
      </c>
      <c r="B11" s="2" t="s">
        <v>61</v>
      </c>
      <c r="C11" s="2"/>
      <c r="D11" s="2"/>
      <c r="E11" s="2" t="s">
        <v>420</v>
      </c>
      <c r="G11" s="2"/>
    </row>
    <row r="12" spans="1:7">
      <c r="A12" s="2" t="s">
        <v>419</v>
      </c>
      <c r="B12" s="2" t="s">
        <v>64</v>
      </c>
      <c r="C12" s="2"/>
      <c r="D12" s="2"/>
      <c r="E12" s="2" t="s">
        <v>420</v>
      </c>
      <c r="G12" s="2"/>
    </row>
    <row r="13" spans="1:7">
      <c r="A13" s="2" t="s">
        <v>419</v>
      </c>
      <c r="B13" s="2" t="s">
        <v>65</v>
      </c>
      <c r="C13" s="2"/>
      <c r="D13" s="2"/>
      <c r="E13" s="2" t="s">
        <v>420</v>
      </c>
      <c r="G13" s="2"/>
    </row>
    <row r="14" spans="1:7">
      <c r="A14" s="5" t="s">
        <v>421</v>
      </c>
      <c r="B14" s="5" t="s">
        <v>381</v>
      </c>
      <c r="C14" s="5">
        <v>0.32550000000000001</v>
      </c>
      <c r="D14" s="5"/>
      <c r="E14" s="5" t="s">
        <v>422</v>
      </c>
      <c r="G14" s="27" t="s">
        <v>416</v>
      </c>
    </row>
    <row r="15" spans="1:7">
      <c r="A15" s="2" t="s">
        <v>421</v>
      </c>
      <c r="B15" s="2" t="s">
        <v>61</v>
      </c>
      <c r="C15" s="2"/>
      <c r="D15" s="2"/>
      <c r="E15" s="2" t="s">
        <v>422</v>
      </c>
      <c r="G15" s="2"/>
    </row>
    <row r="16" spans="1:7">
      <c r="A16" s="2" t="s">
        <v>421</v>
      </c>
      <c r="B16" s="2" t="s">
        <v>64</v>
      </c>
      <c r="C16" s="2"/>
      <c r="D16" s="2"/>
      <c r="E16" s="2" t="s">
        <v>422</v>
      </c>
      <c r="G16" s="2"/>
    </row>
    <row r="17" spans="1:7">
      <c r="A17" s="2" t="s">
        <v>421</v>
      </c>
      <c r="B17" s="2" t="s">
        <v>65</v>
      </c>
      <c r="C17" s="2"/>
      <c r="D17" s="2"/>
      <c r="E17" s="2" t="s">
        <v>422</v>
      </c>
      <c r="G17" s="2"/>
    </row>
    <row r="18" spans="1:7">
      <c r="A18" s="5" t="s">
        <v>423</v>
      </c>
      <c r="B18" s="5" t="s">
        <v>381</v>
      </c>
      <c r="C18" s="5">
        <v>0.7641</v>
      </c>
      <c r="D18" s="5"/>
      <c r="E18" s="5" t="s">
        <v>424</v>
      </c>
      <c r="G18" s="27" t="s">
        <v>416</v>
      </c>
    </row>
    <row r="19" spans="1:7">
      <c r="A19" s="2" t="s">
        <v>423</v>
      </c>
      <c r="B19" s="2" t="s">
        <v>61</v>
      </c>
      <c r="C19" s="2"/>
      <c r="D19" s="2"/>
      <c r="E19" s="2" t="s">
        <v>424</v>
      </c>
      <c r="G19" s="2"/>
    </row>
    <row r="20" spans="1:7">
      <c r="A20" s="2" t="s">
        <v>423</v>
      </c>
      <c r="B20" s="2" t="s">
        <v>64</v>
      </c>
      <c r="C20" s="2"/>
      <c r="D20" s="2"/>
      <c r="E20" s="2" t="s">
        <v>424</v>
      </c>
      <c r="G20" s="2"/>
    </row>
    <row r="21" spans="1:7">
      <c r="A21" s="2" t="s">
        <v>423</v>
      </c>
      <c r="B21" s="2" t="s">
        <v>65</v>
      </c>
      <c r="C21" s="2"/>
      <c r="D21" s="2"/>
      <c r="E21" s="2" t="s">
        <v>424</v>
      </c>
      <c r="G21" s="2"/>
    </row>
    <row r="22" spans="1:7">
      <c r="A22" s="5" t="s">
        <v>425</v>
      </c>
      <c r="B22" s="5" t="s">
        <v>381</v>
      </c>
      <c r="C22" s="5">
        <v>0.63060000000000005</v>
      </c>
      <c r="D22" s="5"/>
      <c r="E22" s="5" t="s">
        <v>426</v>
      </c>
      <c r="G22" s="27" t="s">
        <v>416</v>
      </c>
    </row>
    <row r="23" spans="1:7">
      <c r="A23" s="2" t="s">
        <v>425</v>
      </c>
      <c r="B23" s="2" t="s">
        <v>61</v>
      </c>
      <c r="C23" s="2"/>
      <c r="D23" s="2"/>
      <c r="E23" s="2" t="s">
        <v>426</v>
      </c>
      <c r="G23" s="2"/>
    </row>
    <row r="24" spans="1:7">
      <c r="A24" s="2" t="s">
        <v>425</v>
      </c>
      <c r="B24" s="2" t="s">
        <v>64</v>
      </c>
      <c r="C24" s="2"/>
      <c r="D24" s="2"/>
      <c r="E24" s="2" t="s">
        <v>426</v>
      </c>
      <c r="G24" s="2"/>
    </row>
    <row r="25" spans="1:7">
      <c r="A25" s="2" t="s">
        <v>425</v>
      </c>
      <c r="B25" s="2" t="s">
        <v>65</v>
      </c>
      <c r="C25" s="2"/>
      <c r="D25" s="2"/>
      <c r="E25" s="2" t="s">
        <v>426</v>
      </c>
      <c r="G25" s="2"/>
    </row>
    <row r="26" spans="1:7">
      <c r="A26" s="5" t="s">
        <v>427</v>
      </c>
      <c r="B26" s="5" t="s">
        <v>381</v>
      </c>
      <c r="C26" s="5">
        <v>0.82509999999999994</v>
      </c>
      <c r="D26" s="5"/>
      <c r="E26" s="5" t="s">
        <v>428</v>
      </c>
      <c r="G26" s="27" t="s">
        <v>429</v>
      </c>
    </row>
    <row r="27" spans="1:7">
      <c r="A27" s="2" t="s">
        <v>427</v>
      </c>
      <c r="B27" s="2" t="s">
        <v>61</v>
      </c>
      <c r="C27" s="2"/>
      <c r="D27" s="2"/>
      <c r="E27" s="2" t="s">
        <v>428</v>
      </c>
      <c r="G27" s="2"/>
    </row>
    <row r="28" spans="1:7">
      <c r="A28" s="2" t="s">
        <v>427</v>
      </c>
      <c r="B28" s="2" t="s">
        <v>64</v>
      </c>
      <c r="C28" s="2"/>
      <c r="D28" s="2"/>
      <c r="E28" s="2" t="s">
        <v>428</v>
      </c>
      <c r="G28" s="2"/>
    </row>
    <row r="29" spans="1:7">
      <c r="A29" s="2" t="s">
        <v>427</v>
      </c>
      <c r="B29" s="2" t="s">
        <v>65</v>
      </c>
      <c r="C29" s="2"/>
      <c r="D29" s="2"/>
      <c r="E29" s="2" t="s">
        <v>428</v>
      </c>
      <c r="G29" s="2"/>
    </row>
    <row r="30" spans="1:7">
      <c r="A30" s="5" t="s">
        <v>430</v>
      </c>
      <c r="B30" s="5" t="s">
        <v>381</v>
      </c>
      <c r="C30" s="5">
        <v>6.4199999999999993E-2</v>
      </c>
      <c r="D30" s="5"/>
      <c r="E30" s="5" t="s">
        <v>431</v>
      </c>
      <c r="G30" s="27" t="s">
        <v>432</v>
      </c>
    </row>
    <row r="31" spans="1:7">
      <c r="A31" s="2" t="s">
        <v>430</v>
      </c>
      <c r="B31" s="2" t="s">
        <v>61</v>
      </c>
      <c r="C31" s="2"/>
      <c r="D31" s="2"/>
      <c r="E31" s="2" t="s">
        <v>431</v>
      </c>
      <c r="G31" s="2"/>
    </row>
    <row r="32" spans="1:7">
      <c r="A32" s="2" t="s">
        <v>430</v>
      </c>
      <c r="B32" s="2" t="s">
        <v>64</v>
      </c>
      <c r="C32" s="2"/>
      <c r="D32" s="2"/>
      <c r="E32" s="2" t="s">
        <v>431</v>
      </c>
      <c r="G32" s="2"/>
    </row>
    <row r="33" spans="1:7">
      <c r="A33" s="2" t="s">
        <v>430</v>
      </c>
      <c r="B33" s="2" t="s">
        <v>65</v>
      </c>
      <c r="C33" s="2"/>
      <c r="D33" s="2"/>
      <c r="E33" s="2" t="s">
        <v>431</v>
      </c>
      <c r="G33" s="2"/>
    </row>
    <row r="34" spans="1:7" ht="119.1">
      <c r="A34" s="5" t="s">
        <v>433</v>
      </c>
      <c r="B34" s="5" t="s">
        <v>381</v>
      </c>
      <c r="C34" s="5">
        <v>0.77990000000000004</v>
      </c>
      <c r="D34" s="5"/>
      <c r="E34" s="5" t="s">
        <v>434</v>
      </c>
      <c r="F34" s="33" t="s">
        <v>435</v>
      </c>
      <c r="G34" s="27" t="s">
        <v>432</v>
      </c>
    </row>
    <row r="35" spans="1:7">
      <c r="A35" s="2" t="s">
        <v>433</v>
      </c>
      <c r="B35" s="2" t="s">
        <v>61</v>
      </c>
      <c r="C35" s="2"/>
      <c r="D35" s="2"/>
      <c r="E35" s="2" t="s">
        <v>434</v>
      </c>
      <c r="G35" s="2"/>
    </row>
    <row r="36" spans="1:7">
      <c r="A36" s="2" t="s">
        <v>433</v>
      </c>
      <c r="B36" s="2" t="s">
        <v>64</v>
      </c>
      <c r="C36" s="2"/>
      <c r="D36" s="2"/>
      <c r="E36" s="2" t="s">
        <v>434</v>
      </c>
      <c r="G36" s="2"/>
    </row>
    <row r="37" spans="1:7">
      <c r="A37" s="2" t="s">
        <v>433</v>
      </c>
      <c r="B37" s="2" t="s">
        <v>65</v>
      </c>
      <c r="C37" s="2"/>
      <c r="D37" s="2"/>
      <c r="E37" s="2" t="s">
        <v>434</v>
      </c>
      <c r="G37" s="2"/>
    </row>
    <row r="38" spans="1:7">
      <c r="A38" s="5" t="s">
        <v>436</v>
      </c>
      <c r="B38" s="5" t="s">
        <v>381</v>
      </c>
      <c r="C38" s="5">
        <v>0.35</v>
      </c>
      <c r="D38" s="5"/>
      <c r="E38" s="5" t="s">
        <v>437</v>
      </c>
      <c r="F38" t="s">
        <v>438</v>
      </c>
      <c r="G38" s="2" t="s">
        <v>63</v>
      </c>
    </row>
    <row r="39" spans="1:7">
      <c r="A39" s="2" t="s">
        <v>436</v>
      </c>
      <c r="B39" s="2" t="s">
        <v>61</v>
      </c>
      <c r="C39" s="2"/>
      <c r="D39" s="2"/>
      <c r="E39" s="2" t="s">
        <v>437</v>
      </c>
      <c r="F39" t="s">
        <v>438</v>
      </c>
      <c r="G39" s="2" t="s">
        <v>63</v>
      </c>
    </row>
    <row r="40" spans="1:7">
      <c r="A40" s="2" t="s">
        <v>436</v>
      </c>
      <c r="B40" s="2" t="s">
        <v>64</v>
      </c>
      <c r="C40" s="2"/>
      <c r="D40" s="2"/>
      <c r="E40" s="2" t="s">
        <v>437</v>
      </c>
      <c r="F40" t="s">
        <v>438</v>
      </c>
      <c r="G40" s="2" t="s">
        <v>63</v>
      </c>
    </row>
    <row r="41" spans="1:7">
      <c r="A41" s="2" t="s">
        <v>436</v>
      </c>
      <c r="B41" s="2" t="s">
        <v>65</v>
      </c>
      <c r="C41" s="2"/>
      <c r="D41" s="2"/>
      <c r="E41" s="2" t="s">
        <v>437</v>
      </c>
      <c r="F41" t="s">
        <v>438</v>
      </c>
      <c r="G41" s="2" t="s">
        <v>63</v>
      </c>
    </row>
    <row r="42" spans="1:7">
      <c r="A42" s="5" t="s">
        <v>439</v>
      </c>
      <c r="B42" s="5" t="s">
        <v>381</v>
      </c>
      <c r="C42" s="5">
        <v>0.77990000000000004</v>
      </c>
      <c r="D42" s="5"/>
      <c r="E42" s="5" t="s">
        <v>440</v>
      </c>
      <c r="F42" t="s">
        <v>438</v>
      </c>
      <c r="G42" s="2" t="s">
        <v>63</v>
      </c>
    </row>
    <row r="43" spans="1:7">
      <c r="A43" s="2" t="s">
        <v>439</v>
      </c>
      <c r="B43" s="2" t="s">
        <v>61</v>
      </c>
      <c r="C43" s="2"/>
      <c r="D43" s="2"/>
      <c r="E43" s="2" t="s">
        <v>440</v>
      </c>
      <c r="F43" t="s">
        <v>438</v>
      </c>
      <c r="G43" s="2" t="s">
        <v>63</v>
      </c>
    </row>
    <row r="44" spans="1:7">
      <c r="A44" s="2" t="s">
        <v>439</v>
      </c>
      <c r="B44" s="2" t="s">
        <v>64</v>
      </c>
      <c r="C44" s="2"/>
      <c r="D44" s="2"/>
      <c r="E44" s="2" t="s">
        <v>440</v>
      </c>
      <c r="F44" t="s">
        <v>438</v>
      </c>
      <c r="G44" s="2" t="s">
        <v>63</v>
      </c>
    </row>
    <row r="45" spans="1:7">
      <c r="A45" s="2" t="s">
        <v>439</v>
      </c>
      <c r="B45" s="2" t="s">
        <v>65</v>
      </c>
      <c r="C45" s="2"/>
      <c r="D45" s="2"/>
      <c r="E45" s="2" t="s">
        <v>440</v>
      </c>
      <c r="F45" t="s">
        <v>438</v>
      </c>
      <c r="G45" s="2" t="s">
        <v>63</v>
      </c>
    </row>
    <row r="46" spans="1:7">
      <c r="A46" s="5" t="s">
        <v>441</v>
      </c>
      <c r="B46" s="5" t="s">
        <v>381</v>
      </c>
      <c r="C46" s="5">
        <v>1.7600000000000001E-2</v>
      </c>
      <c r="D46" s="5"/>
      <c r="E46" s="5" t="s">
        <v>442</v>
      </c>
      <c r="G46" s="27" t="s">
        <v>432</v>
      </c>
    </row>
    <row r="47" spans="1:7">
      <c r="A47" s="2" t="s">
        <v>441</v>
      </c>
      <c r="B47" s="2" t="s">
        <v>61</v>
      </c>
      <c r="C47" s="2"/>
      <c r="D47" s="2"/>
      <c r="E47" s="2" t="s">
        <v>442</v>
      </c>
      <c r="G47" s="2"/>
    </row>
    <row r="48" spans="1:7">
      <c r="A48" s="2" t="s">
        <v>441</v>
      </c>
      <c r="B48" s="2" t="s">
        <v>64</v>
      </c>
      <c r="C48" s="2"/>
      <c r="D48" s="2"/>
      <c r="E48" s="2" t="s">
        <v>442</v>
      </c>
      <c r="G48" s="2"/>
    </row>
    <row r="49" spans="1:7">
      <c r="A49" s="2" t="s">
        <v>441</v>
      </c>
      <c r="B49" s="2" t="s">
        <v>65</v>
      </c>
      <c r="C49" s="2"/>
      <c r="D49" s="2"/>
      <c r="E49" s="2" t="s">
        <v>442</v>
      </c>
      <c r="G49" s="2"/>
    </row>
    <row r="50" spans="1:7">
      <c r="A50" s="5" t="s">
        <v>443</v>
      </c>
      <c r="B50" s="5" t="s">
        <v>381</v>
      </c>
      <c r="C50" s="5">
        <v>1.6400000000000001E-2</v>
      </c>
      <c r="D50" s="5"/>
      <c r="E50" s="5" t="s">
        <v>444</v>
      </c>
      <c r="G50" s="27" t="s">
        <v>432</v>
      </c>
    </row>
    <row r="51" spans="1:7">
      <c r="A51" s="2" t="s">
        <v>443</v>
      </c>
      <c r="B51" s="2" t="s">
        <v>61</v>
      </c>
      <c r="C51" s="2"/>
      <c r="D51" s="2"/>
      <c r="E51" s="2" t="s">
        <v>444</v>
      </c>
      <c r="G51" s="2"/>
    </row>
    <row r="52" spans="1:7">
      <c r="A52" s="2" t="s">
        <v>443</v>
      </c>
      <c r="B52" s="2" t="s">
        <v>64</v>
      </c>
      <c r="C52" s="2"/>
      <c r="D52" s="2"/>
      <c r="E52" s="2" t="s">
        <v>444</v>
      </c>
      <c r="G52" s="2"/>
    </row>
    <row r="53" spans="1:7">
      <c r="A53" s="2" t="s">
        <v>443</v>
      </c>
      <c r="B53" s="2" t="s">
        <v>65</v>
      </c>
      <c r="C53" s="2"/>
      <c r="D53" s="2"/>
      <c r="E53" s="2" t="s">
        <v>444</v>
      </c>
      <c r="G53" s="2"/>
    </row>
    <row r="54" spans="1:7">
      <c r="A54" s="5" t="s">
        <v>445</v>
      </c>
      <c r="B54" s="5" t="s">
        <v>381</v>
      </c>
      <c r="C54" s="5">
        <v>1.9099999999999999E-2</v>
      </c>
      <c r="D54" s="5"/>
      <c r="E54" s="5" t="s">
        <v>446</v>
      </c>
      <c r="G54" s="27" t="s">
        <v>432</v>
      </c>
    </row>
    <row r="55" spans="1:7">
      <c r="A55" s="2" t="s">
        <v>445</v>
      </c>
      <c r="B55" s="2" t="s">
        <v>61</v>
      </c>
      <c r="C55" s="2"/>
      <c r="D55" s="2"/>
      <c r="E55" s="2" t="s">
        <v>446</v>
      </c>
      <c r="G55" s="2"/>
    </row>
    <row r="56" spans="1:7">
      <c r="A56" s="2" t="s">
        <v>445</v>
      </c>
      <c r="B56" s="2" t="s">
        <v>64</v>
      </c>
      <c r="C56" s="2"/>
      <c r="D56" s="2"/>
      <c r="E56" s="2" t="s">
        <v>446</v>
      </c>
      <c r="G56" s="2"/>
    </row>
    <row r="57" spans="1:7">
      <c r="A57" s="2" t="s">
        <v>445</v>
      </c>
      <c r="B57" s="2" t="s">
        <v>65</v>
      </c>
      <c r="C57" s="2"/>
      <c r="D57" s="2"/>
      <c r="E57" s="2" t="s">
        <v>446</v>
      </c>
      <c r="G57" s="2"/>
    </row>
    <row r="58" spans="1:7">
      <c r="A58" s="5" t="s">
        <v>447</v>
      </c>
      <c r="B58" s="5" t="s">
        <v>381</v>
      </c>
      <c r="C58" s="5">
        <v>0.79820000000000002</v>
      </c>
      <c r="D58" s="5"/>
      <c r="E58" s="5" t="s">
        <v>448</v>
      </c>
      <c r="G58" s="27" t="s">
        <v>432</v>
      </c>
    </row>
    <row r="59" spans="1:7">
      <c r="A59" s="2" t="s">
        <v>447</v>
      </c>
      <c r="B59" s="2" t="s">
        <v>61</v>
      </c>
      <c r="C59" s="2"/>
      <c r="D59" s="2"/>
      <c r="E59" s="2" t="s">
        <v>448</v>
      </c>
      <c r="G59" s="2"/>
    </row>
    <row r="60" spans="1:7">
      <c r="A60" s="2" t="s">
        <v>447</v>
      </c>
      <c r="B60" s="2" t="s">
        <v>64</v>
      </c>
      <c r="C60" s="2"/>
      <c r="D60" s="2"/>
      <c r="E60" s="2" t="s">
        <v>448</v>
      </c>
      <c r="G60" s="2"/>
    </row>
    <row r="61" spans="1:7">
      <c r="A61" s="2" t="s">
        <v>447</v>
      </c>
      <c r="B61" s="2" t="s">
        <v>65</v>
      </c>
      <c r="C61" s="2"/>
      <c r="D61" s="2"/>
      <c r="E61" s="2" t="s">
        <v>448</v>
      </c>
      <c r="G61" s="2"/>
    </row>
    <row r="62" spans="1:7">
      <c r="A62" s="5" t="s">
        <v>449</v>
      </c>
      <c r="B62" s="5" t="s">
        <v>381</v>
      </c>
      <c r="C62" s="5">
        <v>0.01</v>
      </c>
      <c r="D62" s="5"/>
      <c r="E62" s="5" t="s">
        <v>450</v>
      </c>
      <c r="G62" s="27" t="s">
        <v>432</v>
      </c>
    </row>
    <row r="63" spans="1:7">
      <c r="A63" s="2" t="s">
        <v>449</v>
      </c>
      <c r="B63" s="2" t="s">
        <v>61</v>
      </c>
      <c r="C63" s="2"/>
      <c r="D63" s="2"/>
      <c r="E63" s="2" t="s">
        <v>450</v>
      </c>
      <c r="G63" s="2"/>
    </row>
    <row r="64" spans="1:7">
      <c r="A64" s="2" t="s">
        <v>449</v>
      </c>
      <c r="B64" s="2" t="s">
        <v>64</v>
      </c>
      <c r="C64" s="2"/>
      <c r="D64" s="2"/>
      <c r="E64" s="2" t="s">
        <v>450</v>
      </c>
      <c r="G64" s="2"/>
    </row>
    <row r="65" spans="1:7">
      <c r="A65" s="2" t="s">
        <v>449</v>
      </c>
      <c r="B65" s="2" t="s">
        <v>65</v>
      </c>
      <c r="C65" s="2"/>
      <c r="D65" s="2"/>
      <c r="E65" s="2" t="s">
        <v>450</v>
      </c>
      <c r="G65" s="2"/>
    </row>
    <row r="66" spans="1:7">
      <c r="A66" s="5" t="s">
        <v>451</v>
      </c>
      <c r="B66" s="5" t="s">
        <v>381</v>
      </c>
      <c r="C66" s="5">
        <v>3.56E-2</v>
      </c>
      <c r="D66" s="5"/>
      <c r="E66" s="5" t="s">
        <v>452</v>
      </c>
      <c r="G66" s="27" t="s">
        <v>432</v>
      </c>
    </row>
    <row r="67" spans="1:7">
      <c r="A67" s="2" t="s">
        <v>451</v>
      </c>
      <c r="B67" s="2" t="s">
        <v>61</v>
      </c>
      <c r="C67" s="2"/>
      <c r="D67" s="2"/>
      <c r="E67" s="2" t="s">
        <v>452</v>
      </c>
      <c r="G67" s="2"/>
    </row>
    <row r="68" spans="1:7">
      <c r="A68" s="2" t="s">
        <v>451</v>
      </c>
      <c r="B68" s="2" t="s">
        <v>64</v>
      </c>
      <c r="C68" s="2"/>
      <c r="D68" s="2"/>
      <c r="E68" s="2" t="s">
        <v>452</v>
      </c>
      <c r="G68" s="2"/>
    </row>
    <row r="69" spans="1:7">
      <c r="A69" s="2" t="s">
        <v>451</v>
      </c>
      <c r="B69" s="2" t="s">
        <v>65</v>
      </c>
      <c r="C69" s="2"/>
      <c r="D69" s="2"/>
      <c r="E69" s="2" t="s">
        <v>452</v>
      </c>
      <c r="G69" s="2"/>
    </row>
    <row r="70" spans="1:7">
      <c r="A70" s="5" t="s">
        <v>453</v>
      </c>
      <c r="B70" s="5" t="s">
        <v>381</v>
      </c>
      <c r="C70" s="5">
        <v>0</v>
      </c>
      <c r="D70" s="5">
        <v>0</v>
      </c>
      <c r="E70" s="5" t="s">
        <v>454</v>
      </c>
      <c r="F70" t="s">
        <v>455</v>
      </c>
      <c r="G70" s="27" t="s">
        <v>432</v>
      </c>
    </row>
    <row r="71" spans="1:7">
      <c r="A71" s="5" t="s">
        <v>453</v>
      </c>
      <c r="B71" s="5" t="s">
        <v>381</v>
      </c>
      <c r="C71" s="5">
        <v>5.6800000000000003E-2</v>
      </c>
      <c r="D71" s="5">
        <v>1</v>
      </c>
      <c r="E71" s="5" t="s">
        <v>456</v>
      </c>
      <c r="G71" s="27" t="s">
        <v>432</v>
      </c>
    </row>
    <row r="72" spans="1:7">
      <c r="A72" s="5" t="s">
        <v>453</v>
      </c>
      <c r="B72" s="5" t="s">
        <v>381</v>
      </c>
      <c r="C72" s="5">
        <v>0.1215</v>
      </c>
      <c r="D72" s="5">
        <v>2</v>
      </c>
      <c r="E72" s="5" t="s">
        <v>457</v>
      </c>
      <c r="G72" s="27" t="s">
        <v>432</v>
      </c>
    </row>
    <row r="73" spans="1:7">
      <c r="A73" s="5" t="s">
        <v>453</v>
      </c>
      <c r="B73" s="5" t="s">
        <v>381</v>
      </c>
      <c r="C73" s="5">
        <v>0.1215</v>
      </c>
      <c r="D73" s="5">
        <v>3</v>
      </c>
      <c r="E73" s="5" t="s">
        <v>458</v>
      </c>
      <c r="G73" s="27" t="s">
        <v>432</v>
      </c>
    </row>
    <row r="74" spans="1:7">
      <c r="A74" s="2" t="s">
        <v>453</v>
      </c>
      <c r="B74" s="2" t="s">
        <v>61</v>
      </c>
      <c r="C74" s="2"/>
      <c r="D74" s="2">
        <v>0</v>
      </c>
      <c r="E74" s="2" t="s">
        <v>454</v>
      </c>
      <c r="G74" s="2"/>
    </row>
    <row r="75" spans="1:7">
      <c r="A75" s="2" t="s">
        <v>453</v>
      </c>
      <c r="B75" s="2" t="s">
        <v>61</v>
      </c>
      <c r="C75" s="2"/>
      <c r="D75" s="2">
        <v>1</v>
      </c>
      <c r="E75" s="2" t="s">
        <v>456</v>
      </c>
      <c r="G75" s="2"/>
    </row>
    <row r="76" spans="1:7">
      <c r="A76" s="2" t="s">
        <v>453</v>
      </c>
      <c r="B76" s="2" t="s">
        <v>61</v>
      </c>
      <c r="C76" s="2"/>
      <c r="D76" s="2">
        <v>2</v>
      </c>
      <c r="E76" s="2" t="s">
        <v>457</v>
      </c>
      <c r="G76" s="2"/>
    </row>
    <row r="77" spans="1:7">
      <c r="A77" s="2" t="s">
        <v>453</v>
      </c>
      <c r="B77" s="2" t="s">
        <v>61</v>
      </c>
      <c r="C77" s="2"/>
      <c r="D77" s="2">
        <v>3</v>
      </c>
      <c r="E77" s="2" t="s">
        <v>458</v>
      </c>
      <c r="G77" s="2"/>
    </row>
    <row r="78" spans="1:7">
      <c r="A78" s="2" t="s">
        <v>453</v>
      </c>
      <c r="B78" s="2" t="s">
        <v>64</v>
      </c>
      <c r="C78" s="2"/>
      <c r="D78" s="2">
        <v>0</v>
      </c>
      <c r="E78" s="2" t="s">
        <v>454</v>
      </c>
      <c r="G78" s="2"/>
    </row>
    <row r="79" spans="1:7">
      <c r="A79" s="2" t="s">
        <v>453</v>
      </c>
      <c r="B79" s="2" t="s">
        <v>64</v>
      </c>
      <c r="C79" s="2"/>
      <c r="D79" s="2">
        <v>1</v>
      </c>
      <c r="E79" s="2" t="s">
        <v>456</v>
      </c>
      <c r="G79" s="2"/>
    </row>
    <row r="80" spans="1:7">
      <c r="A80" s="2" t="s">
        <v>453</v>
      </c>
      <c r="B80" s="2" t="s">
        <v>64</v>
      </c>
      <c r="C80" s="2"/>
      <c r="D80" s="2">
        <v>2</v>
      </c>
      <c r="E80" s="2" t="s">
        <v>457</v>
      </c>
      <c r="G80" s="2"/>
    </row>
    <row r="81" spans="1:7">
      <c r="A81" s="2" t="s">
        <v>453</v>
      </c>
      <c r="B81" s="2" t="s">
        <v>64</v>
      </c>
      <c r="C81" s="2"/>
      <c r="D81" s="2">
        <v>3</v>
      </c>
      <c r="E81" s="2" t="s">
        <v>458</v>
      </c>
      <c r="G81" s="2"/>
    </row>
    <row r="82" spans="1:7">
      <c r="A82" s="2" t="s">
        <v>453</v>
      </c>
      <c r="B82" s="2" t="s">
        <v>65</v>
      </c>
      <c r="C82" s="2"/>
      <c r="D82" s="2">
        <v>0</v>
      </c>
      <c r="E82" s="2" t="s">
        <v>454</v>
      </c>
      <c r="G82" s="2"/>
    </row>
    <row r="83" spans="1:7">
      <c r="A83" s="2" t="s">
        <v>453</v>
      </c>
      <c r="B83" s="2" t="s">
        <v>65</v>
      </c>
      <c r="C83" s="2"/>
      <c r="D83" s="2">
        <v>1</v>
      </c>
      <c r="E83" s="2" t="s">
        <v>456</v>
      </c>
      <c r="G83" s="2"/>
    </row>
    <row r="84" spans="1:7">
      <c r="A84" s="2" t="s">
        <v>453</v>
      </c>
      <c r="B84" s="2" t="s">
        <v>65</v>
      </c>
      <c r="C84" s="2"/>
      <c r="D84" s="2">
        <v>2</v>
      </c>
      <c r="E84" s="2" t="s">
        <v>457</v>
      </c>
      <c r="G84" s="2"/>
    </row>
    <row r="85" spans="1:7">
      <c r="A85" s="2" t="s">
        <v>453</v>
      </c>
      <c r="B85" s="2" t="s">
        <v>65</v>
      </c>
      <c r="C85" s="2"/>
      <c r="D85" s="2">
        <v>3</v>
      </c>
      <c r="E85" s="2" t="s">
        <v>458</v>
      </c>
      <c r="G85" s="2"/>
    </row>
    <row r="86" spans="1:7">
      <c r="A86" s="5" t="s">
        <v>459</v>
      </c>
      <c r="B86" s="5" t="s">
        <v>381</v>
      </c>
      <c r="C86" s="5">
        <v>0</v>
      </c>
      <c r="D86" s="5">
        <v>0</v>
      </c>
      <c r="E86" s="5" t="s">
        <v>460</v>
      </c>
      <c r="F86" s="28" t="s">
        <v>461</v>
      </c>
      <c r="G86" s="27" t="s">
        <v>432</v>
      </c>
    </row>
    <row r="87" spans="1:7">
      <c r="A87" s="5" t="s">
        <v>459</v>
      </c>
      <c r="B87" s="5" t="s">
        <v>381</v>
      </c>
      <c r="C87" s="5">
        <v>0</v>
      </c>
      <c r="D87" s="5">
        <v>1</v>
      </c>
      <c r="E87" s="5" t="s">
        <v>462</v>
      </c>
      <c r="F87" t="s">
        <v>455</v>
      </c>
      <c r="G87" s="27" t="s">
        <v>432</v>
      </c>
    </row>
    <row r="88" spans="1:7">
      <c r="A88" s="5" t="s">
        <v>459</v>
      </c>
      <c r="B88" s="5" t="s">
        <v>381</v>
      </c>
      <c r="C88" s="5">
        <v>0.1215</v>
      </c>
      <c r="D88" s="5">
        <v>2</v>
      </c>
      <c r="E88" s="5" t="s">
        <v>463</v>
      </c>
      <c r="F88" s="28" t="s">
        <v>461</v>
      </c>
      <c r="G88" s="27" t="s">
        <v>432</v>
      </c>
    </row>
    <row r="89" spans="1:7">
      <c r="A89" s="5" t="s">
        <v>459</v>
      </c>
      <c r="B89" s="5" t="s">
        <v>381</v>
      </c>
      <c r="C89" s="5">
        <v>0.1215</v>
      </c>
      <c r="D89" s="5">
        <v>3</v>
      </c>
      <c r="E89" s="5" t="s">
        <v>464</v>
      </c>
      <c r="F89" s="28" t="s">
        <v>461</v>
      </c>
      <c r="G89" s="27" t="s">
        <v>432</v>
      </c>
    </row>
    <row r="90" spans="1:7">
      <c r="A90" s="2" t="s">
        <v>459</v>
      </c>
      <c r="B90" s="2" t="s">
        <v>61</v>
      </c>
      <c r="C90" s="2"/>
      <c r="D90" s="2">
        <v>0</v>
      </c>
      <c r="E90" s="2" t="s">
        <v>460</v>
      </c>
      <c r="G90" s="2"/>
    </row>
    <row r="91" spans="1:7">
      <c r="A91" s="2" t="s">
        <v>459</v>
      </c>
      <c r="B91" s="2" t="s">
        <v>61</v>
      </c>
      <c r="C91" s="2"/>
      <c r="D91" s="2">
        <v>1</v>
      </c>
      <c r="E91" s="2" t="s">
        <v>462</v>
      </c>
      <c r="G91" s="2"/>
    </row>
    <row r="92" spans="1:7">
      <c r="A92" s="2" t="s">
        <v>459</v>
      </c>
      <c r="B92" s="2" t="s">
        <v>61</v>
      </c>
      <c r="C92" s="2"/>
      <c r="D92" s="2">
        <v>2</v>
      </c>
      <c r="E92" s="2" t="s">
        <v>463</v>
      </c>
      <c r="G92" s="2"/>
    </row>
    <row r="93" spans="1:7">
      <c r="A93" s="2" t="s">
        <v>459</v>
      </c>
      <c r="B93" s="2" t="s">
        <v>61</v>
      </c>
      <c r="C93" s="2"/>
      <c r="D93" s="2">
        <v>3</v>
      </c>
      <c r="E93" s="2" t="s">
        <v>464</v>
      </c>
      <c r="G93" s="2"/>
    </row>
    <row r="94" spans="1:7">
      <c r="A94" s="2" t="s">
        <v>459</v>
      </c>
      <c r="B94" s="2" t="s">
        <v>64</v>
      </c>
      <c r="C94" s="2"/>
      <c r="D94" s="2">
        <v>0</v>
      </c>
      <c r="E94" s="2" t="s">
        <v>460</v>
      </c>
      <c r="G94" s="2"/>
    </row>
    <row r="95" spans="1:7">
      <c r="A95" s="2" t="s">
        <v>459</v>
      </c>
      <c r="B95" s="2" t="s">
        <v>64</v>
      </c>
      <c r="C95" s="2"/>
      <c r="D95" s="2">
        <v>1</v>
      </c>
      <c r="E95" s="2" t="s">
        <v>462</v>
      </c>
      <c r="G95" s="2"/>
    </row>
    <row r="96" spans="1:7">
      <c r="A96" s="2" t="s">
        <v>459</v>
      </c>
      <c r="B96" s="2" t="s">
        <v>64</v>
      </c>
      <c r="C96" s="2"/>
      <c r="D96" s="2">
        <v>2</v>
      </c>
      <c r="E96" s="2" t="s">
        <v>463</v>
      </c>
      <c r="G96" s="2"/>
    </row>
    <row r="97" spans="1:7">
      <c r="A97" s="2" t="s">
        <v>459</v>
      </c>
      <c r="B97" s="2" t="s">
        <v>64</v>
      </c>
      <c r="C97" s="2"/>
      <c r="D97" s="2">
        <v>3</v>
      </c>
      <c r="E97" s="2" t="s">
        <v>464</v>
      </c>
      <c r="G97" s="2"/>
    </row>
    <row r="98" spans="1:7">
      <c r="A98" s="2" t="s">
        <v>459</v>
      </c>
      <c r="B98" s="2" t="s">
        <v>65</v>
      </c>
      <c r="C98" s="2"/>
      <c r="D98" s="2">
        <v>0</v>
      </c>
      <c r="E98" s="2" t="s">
        <v>460</v>
      </c>
      <c r="G98" s="2"/>
    </row>
    <row r="99" spans="1:7">
      <c r="A99" s="2" t="s">
        <v>459</v>
      </c>
      <c r="B99" s="2" t="s">
        <v>65</v>
      </c>
      <c r="C99" s="2"/>
      <c r="D99" s="2">
        <v>1</v>
      </c>
      <c r="E99" s="2" t="s">
        <v>462</v>
      </c>
      <c r="G99" s="2"/>
    </row>
    <row r="100" spans="1:7">
      <c r="A100" s="2" t="s">
        <v>459</v>
      </c>
      <c r="B100" s="2" t="s">
        <v>65</v>
      </c>
      <c r="C100" s="2"/>
      <c r="D100" s="2">
        <v>2</v>
      </c>
      <c r="E100" s="2" t="s">
        <v>463</v>
      </c>
      <c r="G100" s="2"/>
    </row>
    <row r="101" spans="1:7">
      <c r="A101" s="2" t="s">
        <v>459</v>
      </c>
      <c r="B101" s="2" t="s">
        <v>65</v>
      </c>
      <c r="C101" s="2"/>
      <c r="D101" s="2">
        <v>3</v>
      </c>
      <c r="E101" s="2" t="s">
        <v>464</v>
      </c>
      <c r="G101" s="2"/>
    </row>
    <row r="102" spans="1:7">
      <c r="A102" s="5" t="s">
        <v>465</v>
      </c>
      <c r="B102" s="5" t="s">
        <v>381</v>
      </c>
      <c r="C102" s="5">
        <v>0</v>
      </c>
      <c r="D102" s="5">
        <v>0</v>
      </c>
      <c r="E102" s="5" t="s">
        <v>466</v>
      </c>
      <c r="F102" t="s">
        <v>455</v>
      </c>
      <c r="G102" s="27" t="s">
        <v>432</v>
      </c>
    </row>
    <row r="103" spans="1:7">
      <c r="A103" s="5" t="s">
        <v>465</v>
      </c>
      <c r="B103" s="5" t="s">
        <v>381</v>
      </c>
      <c r="C103" s="5">
        <v>5.6800000000000003E-2</v>
      </c>
      <c r="D103" s="5">
        <v>1</v>
      </c>
      <c r="E103" s="5" t="s">
        <v>467</v>
      </c>
      <c r="F103" t="s">
        <v>455</v>
      </c>
      <c r="G103" s="27" t="s">
        <v>432</v>
      </c>
    </row>
    <row r="104" spans="1:7">
      <c r="A104" s="5" t="s">
        <v>465</v>
      </c>
      <c r="B104" s="5" t="s">
        <v>381</v>
      </c>
      <c r="C104" s="5">
        <v>0.1215</v>
      </c>
      <c r="D104" s="5">
        <v>2</v>
      </c>
      <c r="E104" s="5" t="s">
        <v>468</v>
      </c>
      <c r="F104" t="s">
        <v>455</v>
      </c>
      <c r="G104" s="27" t="s">
        <v>432</v>
      </c>
    </row>
    <row r="105" spans="1:7">
      <c r="A105" s="5" t="s">
        <v>465</v>
      </c>
      <c r="B105" s="5" t="s">
        <v>381</v>
      </c>
      <c r="C105" s="5">
        <v>0.1215</v>
      </c>
      <c r="D105" s="5">
        <v>3</v>
      </c>
      <c r="E105" s="5" t="s">
        <v>469</v>
      </c>
      <c r="F105" t="s">
        <v>455</v>
      </c>
      <c r="G105" s="27" t="s">
        <v>432</v>
      </c>
    </row>
    <row r="106" spans="1:7">
      <c r="A106" s="2" t="s">
        <v>465</v>
      </c>
      <c r="B106" s="2" t="s">
        <v>61</v>
      </c>
      <c r="C106" s="2"/>
      <c r="D106" s="2">
        <v>0</v>
      </c>
      <c r="E106" s="2" t="s">
        <v>466</v>
      </c>
      <c r="G106" s="2"/>
    </row>
    <row r="107" spans="1:7">
      <c r="A107" s="2" t="s">
        <v>465</v>
      </c>
      <c r="B107" s="2" t="s">
        <v>61</v>
      </c>
      <c r="C107" s="2"/>
      <c r="D107" s="2">
        <v>1</v>
      </c>
      <c r="E107" s="2" t="s">
        <v>467</v>
      </c>
      <c r="G107" s="2"/>
    </row>
    <row r="108" spans="1:7">
      <c r="A108" s="2" t="s">
        <v>465</v>
      </c>
      <c r="B108" s="2" t="s">
        <v>61</v>
      </c>
      <c r="C108" s="2"/>
      <c r="D108" s="2">
        <v>2</v>
      </c>
      <c r="E108" s="2" t="s">
        <v>468</v>
      </c>
      <c r="G108" s="2"/>
    </row>
    <row r="109" spans="1:7">
      <c r="A109" s="2" t="s">
        <v>465</v>
      </c>
      <c r="B109" s="2" t="s">
        <v>61</v>
      </c>
      <c r="C109" s="2"/>
      <c r="D109" s="2">
        <v>3</v>
      </c>
      <c r="E109" s="2" t="s">
        <v>469</v>
      </c>
      <c r="G109" s="2"/>
    </row>
    <row r="110" spans="1:7">
      <c r="A110" s="2" t="s">
        <v>465</v>
      </c>
      <c r="B110" s="2" t="s">
        <v>64</v>
      </c>
      <c r="C110" s="2"/>
      <c r="D110" s="2">
        <v>0</v>
      </c>
      <c r="E110" s="2" t="s">
        <v>466</v>
      </c>
      <c r="G110" s="2"/>
    </row>
    <row r="111" spans="1:7">
      <c r="A111" s="2" t="s">
        <v>465</v>
      </c>
      <c r="B111" s="2" t="s">
        <v>64</v>
      </c>
      <c r="C111" s="2"/>
      <c r="D111" s="2">
        <v>1</v>
      </c>
      <c r="E111" s="2" t="s">
        <v>467</v>
      </c>
      <c r="G111" s="2"/>
    </row>
    <row r="112" spans="1:7">
      <c r="A112" s="2" t="s">
        <v>465</v>
      </c>
      <c r="B112" s="2" t="s">
        <v>64</v>
      </c>
      <c r="C112" s="2"/>
      <c r="D112" s="2">
        <v>2</v>
      </c>
      <c r="E112" s="2" t="s">
        <v>468</v>
      </c>
      <c r="G112" s="2"/>
    </row>
    <row r="113" spans="1:7">
      <c r="A113" s="2" t="s">
        <v>465</v>
      </c>
      <c r="B113" s="2" t="s">
        <v>64</v>
      </c>
      <c r="C113" s="2"/>
      <c r="D113" s="2">
        <v>3</v>
      </c>
      <c r="E113" s="2" t="s">
        <v>469</v>
      </c>
      <c r="G113" s="2"/>
    </row>
    <row r="114" spans="1:7">
      <c r="A114" s="2" t="s">
        <v>465</v>
      </c>
      <c r="B114" s="2" t="s">
        <v>65</v>
      </c>
      <c r="C114" s="2"/>
      <c r="D114" s="2">
        <v>0</v>
      </c>
      <c r="E114" s="2" t="s">
        <v>466</v>
      </c>
      <c r="G114" s="2"/>
    </row>
    <row r="115" spans="1:7">
      <c r="A115" s="2" t="s">
        <v>465</v>
      </c>
      <c r="B115" s="2" t="s">
        <v>65</v>
      </c>
      <c r="C115" s="2"/>
      <c r="D115" s="2">
        <v>1</v>
      </c>
      <c r="E115" s="2" t="s">
        <v>467</v>
      </c>
      <c r="G115" s="2"/>
    </row>
    <row r="116" spans="1:7">
      <c r="A116" s="2" t="s">
        <v>465</v>
      </c>
      <c r="B116" s="2" t="s">
        <v>65</v>
      </c>
      <c r="C116" s="2"/>
      <c r="D116" s="2">
        <v>2</v>
      </c>
      <c r="E116" s="2" t="s">
        <v>468</v>
      </c>
      <c r="G116" s="2"/>
    </row>
    <row r="117" spans="1:7">
      <c r="A117" s="2" t="s">
        <v>465</v>
      </c>
      <c r="B117" s="2" t="s">
        <v>65</v>
      </c>
      <c r="C117" s="2"/>
      <c r="D117" s="2">
        <v>3</v>
      </c>
      <c r="E117" s="2" t="s">
        <v>469</v>
      </c>
      <c r="G117" s="2"/>
    </row>
    <row r="118" spans="1:7">
      <c r="A118" s="5" t="s">
        <v>470</v>
      </c>
      <c r="B118" s="5" t="s">
        <v>381</v>
      </c>
      <c r="C118" s="5">
        <v>0</v>
      </c>
      <c r="D118" s="5">
        <v>0</v>
      </c>
      <c r="E118" s="5" t="s">
        <v>471</v>
      </c>
      <c r="F118" s="28" t="s">
        <v>461</v>
      </c>
      <c r="G118" s="27" t="s">
        <v>432</v>
      </c>
    </row>
    <row r="119" spans="1:7">
      <c r="A119" s="5" t="s">
        <v>470</v>
      </c>
      <c r="B119" s="5" t="s">
        <v>381</v>
      </c>
      <c r="C119" s="5">
        <v>0</v>
      </c>
      <c r="D119" s="5">
        <v>1</v>
      </c>
      <c r="E119" s="5" t="s">
        <v>472</v>
      </c>
      <c r="G119" s="27" t="s">
        <v>432</v>
      </c>
    </row>
    <row r="120" spans="1:7">
      <c r="A120" s="5" t="s">
        <v>470</v>
      </c>
      <c r="B120" s="5" t="s">
        <v>381</v>
      </c>
      <c r="C120" s="5">
        <v>0.1215</v>
      </c>
      <c r="D120" s="5">
        <v>2</v>
      </c>
      <c r="E120" s="5" t="s">
        <v>473</v>
      </c>
      <c r="F120" s="28" t="s">
        <v>461</v>
      </c>
      <c r="G120" s="27" t="s">
        <v>432</v>
      </c>
    </row>
    <row r="121" spans="1:7">
      <c r="A121" s="5" t="s">
        <v>470</v>
      </c>
      <c r="B121" s="5" t="s">
        <v>381</v>
      </c>
      <c r="C121" s="5">
        <v>0.1215</v>
      </c>
      <c r="D121" s="5">
        <v>3</v>
      </c>
      <c r="E121" s="5" t="s">
        <v>474</v>
      </c>
      <c r="F121" s="28" t="s">
        <v>461</v>
      </c>
      <c r="G121" s="27" t="s">
        <v>432</v>
      </c>
    </row>
    <row r="122" spans="1:7">
      <c r="A122" s="2" t="s">
        <v>470</v>
      </c>
      <c r="B122" s="2" t="s">
        <v>61</v>
      </c>
      <c r="C122" s="2"/>
      <c r="D122" s="2">
        <v>0</v>
      </c>
      <c r="E122" s="2" t="s">
        <v>471</v>
      </c>
      <c r="G122" s="2"/>
    </row>
    <row r="123" spans="1:7">
      <c r="A123" s="2" t="s">
        <v>470</v>
      </c>
      <c r="B123" s="2" t="s">
        <v>61</v>
      </c>
      <c r="C123" s="2"/>
      <c r="D123" s="2">
        <v>1</v>
      </c>
      <c r="E123" s="2" t="s">
        <v>472</v>
      </c>
      <c r="G123" s="2"/>
    </row>
    <row r="124" spans="1:7">
      <c r="A124" s="2" t="s">
        <v>470</v>
      </c>
      <c r="B124" s="2" t="s">
        <v>61</v>
      </c>
      <c r="C124" s="2"/>
      <c r="D124" s="2">
        <v>2</v>
      </c>
      <c r="E124" s="2" t="s">
        <v>473</v>
      </c>
      <c r="G124" s="2"/>
    </row>
    <row r="125" spans="1:7">
      <c r="A125" s="2" t="s">
        <v>470</v>
      </c>
      <c r="B125" s="2" t="s">
        <v>61</v>
      </c>
      <c r="C125" s="2"/>
      <c r="D125" s="2">
        <v>3</v>
      </c>
      <c r="E125" s="2" t="s">
        <v>474</v>
      </c>
      <c r="G125" s="2"/>
    </row>
    <row r="126" spans="1:7">
      <c r="A126" s="2" t="s">
        <v>470</v>
      </c>
      <c r="B126" s="2" t="s">
        <v>64</v>
      </c>
      <c r="C126" s="2"/>
      <c r="D126" s="2">
        <v>0</v>
      </c>
      <c r="E126" s="2" t="s">
        <v>471</v>
      </c>
      <c r="G126" s="2"/>
    </row>
    <row r="127" spans="1:7">
      <c r="A127" s="2" t="s">
        <v>470</v>
      </c>
      <c r="B127" s="2" t="s">
        <v>64</v>
      </c>
      <c r="C127" s="2"/>
      <c r="D127" s="2">
        <v>1</v>
      </c>
      <c r="E127" s="2" t="s">
        <v>472</v>
      </c>
      <c r="G127" s="2"/>
    </row>
    <row r="128" spans="1:7">
      <c r="A128" s="2" t="s">
        <v>470</v>
      </c>
      <c r="B128" s="2" t="s">
        <v>64</v>
      </c>
      <c r="C128" s="2"/>
      <c r="D128" s="2">
        <v>2</v>
      </c>
      <c r="E128" s="2" t="s">
        <v>473</v>
      </c>
      <c r="G128" s="2"/>
    </row>
    <row r="129" spans="1:7">
      <c r="A129" s="2" t="s">
        <v>470</v>
      </c>
      <c r="B129" s="2" t="s">
        <v>64</v>
      </c>
      <c r="C129" s="2"/>
      <c r="D129" s="2">
        <v>3</v>
      </c>
      <c r="E129" s="2" t="s">
        <v>474</v>
      </c>
      <c r="G129" s="2"/>
    </row>
    <row r="130" spans="1:7">
      <c r="A130" s="2" t="s">
        <v>470</v>
      </c>
      <c r="B130" s="2" t="s">
        <v>65</v>
      </c>
      <c r="C130" s="2"/>
      <c r="D130" s="2">
        <v>0</v>
      </c>
      <c r="E130" s="2" t="s">
        <v>471</v>
      </c>
      <c r="G130" s="2"/>
    </row>
    <row r="131" spans="1:7">
      <c r="A131" s="2" t="s">
        <v>470</v>
      </c>
      <c r="B131" s="2" t="s">
        <v>65</v>
      </c>
      <c r="C131" s="2"/>
      <c r="D131" s="2">
        <v>1</v>
      </c>
      <c r="E131" s="2" t="s">
        <v>472</v>
      </c>
      <c r="G131" s="2"/>
    </row>
    <row r="132" spans="1:7">
      <c r="A132" s="2" t="s">
        <v>470</v>
      </c>
      <c r="B132" s="2" t="s">
        <v>65</v>
      </c>
      <c r="C132" s="2"/>
      <c r="D132" s="2">
        <v>2</v>
      </c>
      <c r="E132" s="2" t="s">
        <v>473</v>
      </c>
      <c r="G132" s="2"/>
    </row>
    <row r="133" spans="1:7">
      <c r="A133" s="2" t="s">
        <v>470</v>
      </c>
      <c r="B133" s="2" t="s">
        <v>65</v>
      </c>
      <c r="C133" s="2"/>
      <c r="D133" s="2">
        <v>3</v>
      </c>
      <c r="E133" s="2" t="s">
        <v>474</v>
      </c>
      <c r="G133" s="2"/>
    </row>
    <row r="134" spans="1:7">
      <c r="A134" s="5" t="s">
        <v>475</v>
      </c>
      <c r="B134" s="5" t="s">
        <v>381</v>
      </c>
      <c r="C134" s="5">
        <v>5.3E-3</v>
      </c>
      <c r="D134" s="5"/>
      <c r="E134" s="5" t="s">
        <v>476</v>
      </c>
      <c r="G134" s="27" t="s">
        <v>477</v>
      </c>
    </row>
    <row r="135" spans="1:7">
      <c r="A135" s="2" t="s">
        <v>475</v>
      </c>
      <c r="B135" s="2" t="s">
        <v>61</v>
      </c>
      <c r="C135" s="2"/>
      <c r="D135" s="2"/>
      <c r="E135" s="2" t="s">
        <v>476</v>
      </c>
      <c r="G135" s="2"/>
    </row>
    <row r="136" spans="1:7">
      <c r="A136" s="2" t="s">
        <v>475</v>
      </c>
      <c r="B136" s="2" t="s">
        <v>64</v>
      </c>
      <c r="C136" s="2"/>
      <c r="D136" s="2"/>
      <c r="E136" s="2" t="s">
        <v>476</v>
      </c>
      <c r="G136" s="2"/>
    </row>
    <row r="137" spans="1:7">
      <c r="A137" s="2" t="s">
        <v>475</v>
      </c>
      <c r="B137" s="2" t="s">
        <v>65</v>
      </c>
      <c r="C137" s="2"/>
      <c r="D137" s="2"/>
      <c r="E137" s="2" t="s">
        <v>476</v>
      </c>
      <c r="G137" s="2"/>
    </row>
    <row r="138" spans="1:7">
      <c r="A138" s="5" t="s">
        <v>478</v>
      </c>
      <c r="B138" s="5" t="s">
        <v>381</v>
      </c>
      <c r="C138" s="5">
        <v>2</v>
      </c>
      <c r="D138" s="5"/>
      <c r="E138" s="5" t="s">
        <v>479</v>
      </c>
      <c r="G138" s="27" t="s">
        <v>477</v>
      </c>
    </row>
    <row r="139" spans="1:7">
      <c r="A139" s="2" t="s">
        <v>478</v>
      </c>
      <c r="B139" s="2" t="s">
        <v>61</v>
      </c>
      <c r="C139" s="2"/>
      <c r="D139" s="2"/>
      <c r="E139" s="2" t="s">
        <v>479</v>
      </c>
      <c r="G139" s="2"/>
    </row>
    <row r="140" spans="1:7">
      <c r="A140" s="2" t="s">
        <v>478</v>
      </c>
      <c r="B140" s="2" t="s">
        <v>64</v>
      </c>
      <c r="C140" s="2"/>
      <c r="D140" s="2"/>
      <c r="E140" s="2" t="s">
        <v>479</v>
      </c>
      <c r="G140" s="2"/>
    </row>
    <row r="141" spans="1:7">
      <c r="A141" s="2" t="s">
        <v>478</v>
      </c>
      <c r="B141" s="2" t="s">
        <v>65</v>
      </c>
      <c r="C141" s="2"/>
      <c r="D141" s="2"/>
      <c r="E141" s="2" t="s">
        <v>479</v>
      </c>
      <c r="G141" s="2"/>
    </row>
    <row r="142" spans="1:7">
      <c r="A142" s="5" t="s">
        <v>480</v>
      </c>
      <c r="B142" s="5" t="s">
        <v>381</v>
      </c>
      <c r="C142" s="5">
        <v>0.47599999999999998</v>
      </c>
      <c r="D142" s="5"/>
      <c r="E142" s="5" t="s">
        <v>481</v>
      </c>
      <c r="G142" s="27" t="s">
        <v>477</v>
      </c>
    </row>
    <row r="143" spans="1:7">
      <c r="A143" s="2" t="s">
        <v>480</v>
      </c>
      <c r="B143" s="2" t="s">
        <v>61</v>
      </c>
      <c r="C143" s="2"/>
      <c r="D143" s="2"/>
      <c r="E143" s="2" t="s">
        <v>481</v>
      </c>
      <c r="G143" s="2"/>
    </row>
    <row r="144" spans="1:7">
      <c r="A144" s="2" t="s">
        <v>480</v>
      </c>
      <c r="B144" s="2" t="s">
        <v>64</v>
      </c>
      <c r="C144" s="2"/>
      <c r="D144" s="2"/>
      <c r="E144" s="2" t="s">
        <v>481</v>
      </c>
      <c r="G144" s="2"/>
    </row>
    <row r="145" spans="1:7">
      <c r="A145" s="2" t="s">
        <v>480</v>
      </c>
      <c r="B145" s="2" t="s">
        <v>65</v>
      </c>
      <c r="C145" s="2"/>
      <c r="D145" s="2"/>
      <c r="E145" s="2" t="s">
        <v>481</v>
      </c>
      <c r="G145" s="2"/>
    </row>
    <row r="146" spans="1:7">
      <c r="A146" s="5" t="s">
        <v>482</v>
      </c>
      <c r="B146" s="5" t="s">
        <v>381</v>
      </c>
      <c r="C146" s="5">
        <v>2</v>
      </c>
      <c r="D146" s="5"/>
      <c r="E146" s="5" t="s">
        <v>483</v>
      </c>
      <c r="G146" s="27" t="s">
        <v>477</v>
      </c>
    </row>
    <row r="147" spans="1:7">
      <c r="A147" s="2" t="s">
        <v>482</v>
      </c>
      <c r="B147" s="2" t="s">
        <v>61</v>
      </c>
      <c r="C147" s="2"/>
      <c r="D147" s="2"/>
      <c r="E147" s="2" t="s">
        <v>483</v>
      </c>
      <c r="G147" s="2"/>
    </row>
    <row r="148" spans="1:7">
      <c r="A148" s="2" t="s">
        <v>482</v>
      </c>
      <c r="B148" s="2" t="s">
        <v>64</v>
      </c>
      <c r="C148" s="2"/>
      <c r="D148" s="2"/>
      <c r="E148" s="2" t="s">
        <v>483</v>
      </c>
      <c r="G148" s="2"/>
    </row>
    <row r="149" spans="1:7">
      <c r="A149" s="2" t="s">
        <v>482</v>
      </c>
      <c r="B149" s="2" t="s">
        <v>65</v>
      </c>
      <c r="C149" s="2"/>
      <c r="D149" s="2"/>
      <c r="E149" s="2" t="s">
        <v>483</v>
      </c>
      <c r="G149" s="2"/>
    </row>
    <row r="150" spans="1:7">
      <c r="A150" s="5" t="s">
        <v>484</v>
      </c>
      <c r="B150" s="5" t="s">
        <v>381</v>
      </c>
      <c r="C150" s="5">
        <v>0.1855</v>
      </c>
      <c r="D150" s="5"/>
      <c r="E150" s="5" t="s">
        <v>485</v>
      </c>
      <c r="G150" s="27" t="s">
        <v>477</v>
      </c>
    </row>
    <row r="151" spans="1:7">
      <c r="A151" s="2" t="s">
        <v>484</v>
      </c>
      <c r="B151" s="2" t="s">
        <v>61</v>
      </c>
      <c r="C151" s="2"/>
      <c r="D151" s="2"/>
      <c r="E151" s="2" t="s">
        <v>485</v>
      </c>
      <c r="G151" s="2"/>
    </row>
    <row r="152" spans="1:7">
      <c r="A152" s="2" t="s">
        <v>484</v>
      </c>
      <c r="B152" s="2" t="s">
        <v>64</v>
      </c>
      <c r="C152" s="2"/>
      <c r="D152" s="2"/>
      <c r="E152" s="2" t="s">
        <v>485</v>
      </c>
      <c r="G152" s="2"/>
    </row>
    <row r="153" spans="1:7">
      <c r="A153" s="2" t="s">
        <v>484</v>
      </c>
      <c r="B153" s="2" t="s">
        <v>65</v>
      </c>
      <c r="C153" s="2"/>
      <c r="D153" s="2"/>
      <c r="E153" s="2" t="s">
        <v>485</v>
      </c>
      <c r="G153" s="2"/>
    </row>
    <row r="154" spans="1:7">
      <c r="A154" s="5" t="s">
        <v>486</v>
      </c>
      <c r="B154" s="5" t="s">
        <v>381</v>
      </c>
      <c r="C154" s="5">
        <v>2</v>
      </c>
      <c r="D154" s="5"/>
      <c r="E154" s="5" t="s">
        <v>487</v>
      </c>
      <c r="G154" s="27" t="s">
        <v>477</v>
      </c>
    </row>
    <row r="155" spans="1:7">
      <c r="A155" s="2" t="s">
        <v>486</v>
      </c>
      <c r="B155" s="2" t="s">
        <v>61</v>
      </c>
      <c r="C155" s="2"/>
      <c r="D155" s="2"/>
      <c r="E155" s="2" t="s">
        <v>487</v>
      </c>
      <c r="G155" s="2"/>
    </row>
    <row r="156" spans="1:7">
      <c r="A156" s="2" t="s">
        <v>486</v>
      </c>
      <c r="B156" s="2" t="s">
        <v>64</v>
      </c>
      <c r="C156" s="2"/>
      <c r="D156" s="2"/>
      <c r="E156" s="2" t="s">
        <v>487</v>
      </c>
      <c r="G156" s="2"/>
    </row>
    <row r="157" spans="1:7">
      <c r="A157" s="2" t="s">
        <v>486</v>
      </c>
      <c r="B157" s="2" t="s">
        <v>65</v>
      </c>
      <c r="C157" s="2"/>
      <c r="D157" s="2"/>
      <c r="E157" s="2" t="s">
        <v>487</v>
      </c>
      <c r="G157" s="2"/>
    </row>
    <row r="158" spans="1:7">
      <c r="A158" s="5" t="s">
        <v>488</v>
      </c>
      <c r="B158" s="5" t="s">
        <v>381</v>
      </c>
      <c r="C158" s="5">
        <v>0.14560000000000001</v>
      </c>
      <c r="D158" s="5"/>
      <c r="E158" s="5" t="s">
        <v>489</v>
      </c>
      <c r="G158" s="27" t="s">
        <v>477</v>
      </c>
    </row>
    <row r="159" spans="1:7">
      <c r="A159" s="2" t="s">
        <v>488</v>
      </c>
      <c r="B159" s="2" t="s">
        <v>61</v>
      </c>
      <c r="C159" s="2"/>
      <c r="D159" s="2"/>
      <c r="E159" s="2" t="s">
        <v>489</v>
      </c>
      <c r="G159" s="2"/>
    </row>
    <row r="160" spans="1:7">
      <c r="A160" s="2" t="s">
        <v>488</v>
      </c>
      <c r="B160" s="2" t="s">
        <v>64</v>
      </c>
      <c r="C160" s="2"/>
      <c r="D160" s="2"/>
      <c r="E160" s="2" t="s">
        <v>489</v>
      </c>
      <c r="G160" s="2"/>
    </row>
    <row r="161" spans="1:7">
      <c r="A161" s="2" t="s">
        <v>488</v>
      </c>
      <c r="B161" s="2" t="s">
        <v>65</v>
      </c>
      <c r="C161" s="2"/>
      <c r="D161" s="2"/>
      <c r="E161" s="2" t="s">
        <v>489</v>
      </c>
      <c r="G161" s="2"/>
    </row>
    <row r="162" spans="1:7">
      <c r="A162" s="5" t="s">
        <v>490</v>
      </c>
      <c r="B162" s="5" t="s">
        <v>381</v>
      </c>
      <c r="C162" s="5">
        <v>2.6661000000000001</v>
      </c>
      <c r="D162" s="5"/>
      <c r="E162" s="5" t="s">
        <v>491</v>
      </c>
      <c r="G162" s="27" t="s">
        <v>477</v>
      </c>
    </row>
    <row r="163" spans="1:7">
      <c r="A163" s="2" t="s">
        <v>490</v>
      </c>
      <c r="B163" s="2" t="s">
        <v>61</v>
      </c>
      <c r="C163" s="2"/>
      <c r="D163" s="2"/>
      <c r="E163" s="2" t="s">
        <v>491</v>
      </c>
      <c r="G163" s="2"/>
    </row>
    <row r="164" spans="1:7">
      <c r="A164" s="2" t="s">
        <v>490</v>
      </c>
      <c r="B164" s="2" t="s">
        <v>64</v>
      </c>
      <c r="C164" s="2"/>
      <c r="D164" s="2"/>
      <c r="E164" s="2" t="s">
        <v>491</v>
      </c>
      <c r="G164" s="2"/>
    </row>
    <row r="165" spans="1:7">
      <c r="A165" s="2" t="s">
        <v>490</v>
      </c>
      <c r="B165" s="2" t="s">
        <v>65</v>
      </c>
      <c r="C165" s="2"/>
      <c r="D165" s="2"/>
      <c r="E165" s="2" t="s">
        <v>491</v>
      </c>
      <c r="G165" s="2"/>
    </row>
    <row r="166" spans="1:7">
      <c r="A166" s="5" t="s">
        <v>492</v>
      </c>
      <c r="B166" s="5" t="s">
        <v>381</v>
      </c>
      <c r="C166" s="5">
        <v>5.0099999999999999E-2</v>
      </c>
      <c r="D166" s="5"/>
      <c r="E166" s="5" t="s">
        <v>493</v>
      </c>
      <c r="G166" s="27" t="s">
        <v>477</v>
      </c>
    </row>
    <row r="167" spans="1:7">
      <c r="A167" s="2" t="s">
        <v>492</v>
      </c>
      <c r="B167" s="2" t="s">
        <v>61</v>
      </c>
      <c r="C167" s="2"/>
      <c r="D167" s="2"/>
      <c r="E167" s="2" t="s">
        <v>493</v>
      </c>
      <c r="G167" s="2"/>
    </row>
    <row r="168" spans="1:7">
      <c r="A168" s="2" t="s">
        <v>492</v>
      </c>
      <c r="B168" s="2" t="s">
        <v>64</v>
      </c>
      <c r="C168" s="2"/>
      <c r="D168" s="2"/>
      <c r="E168" s="2" t="s">
        <v>493</v>
      </c>
      <c r="G168" s="2"/>
    </row>
    <row r="169" spans="1:7">
      <c r="A169" s="2" t="s">
        <v>492</v>
      </c>
      <c r="B169" s="2" t="s">
        <v>65</v>
      </c>
      <c r="C169" s="2"/>
      <c r="D169" s="2"/>
      <c r="E169" s="2" t="s">
        <v>493</v>
      </c>
      <c r="G169" s="2"/>
    </row>
    <row r="170" spans="1:7">
      <c r="A170" s="5" t="s">
        <v>494</v>
      </c>
      <c r="B170" s="5" t="s">
        <v>381</v>
      </c>
      <c r="C170" s="5">
        <v>0.23499999999999999</v>
      </c>
      <c r="D170" s="5"/>
      <c r="E170" s="5" t="s">
        <v>495</v>
      </c>
      <c r="G170" s="26" t="s">
        <v>496</v>
      </c>
    </row>
    <row r="171" spans="1:7">
      <c r="A171" s="2" t="s">
        <v>494</v>
      </c>
      <c r="B171" s="2" t="s">
        <v>61</v>
      </c>
      <c r="C171" s="2"/>
      <c r="D171" s="2"/>
      <c r="E171" s="2" t="s">
        <v>495</v>
      </c>
      <c r="G171" s="2"/>
    </row>
    <row r="172" spans="1:7">
      <c r="A172" s="2" t="s">
        <v>494</v>
      </c>
      <c r="B172" s="2" t="s">
        <v>64</v>
      </c>
      <c r="C172" s="2"/>
      <c r="D172" s="2"/>
      <c r="E172" s="2" t="s">
        <v>495</v>
      </c>
      <c r="G172" s="2"/>
    </row>
    <row r="173" spans="1:7">
      <c r="A173" s="2" t="s">
        <v>494</v>
      </c>
      <c r="B173" s="2" t="s">
        <v>65</v>
      </c>
      <c r="C173" s="2"/>
      <c r="D173" s="2"/>
      <c r="E173" s="2" t="s">
        <v>495</v>
      </c>
      <c r="G173" s="2"/>
    </row>
    <row r="174" spans="1:7">
      <c r="A174" s="5" t="s">
        <v>497</v>
      </c>
      <c r="B174" s="5" t="s">
        <v>381</v>
      </c>
      <c r="C174" s="5">
        <v>3.15</v>
      </c>
      <c r="D174" s="5"/>
      <c r="E174" s="5" t="s">
        <v>498</v>
      </c>
      <c r="G174" s="26" t="s">
        <v>496</v>
      </c>
    </row>
    <row r="175" spans="1:7">
      <c r="A175" s="2" t="s">
        <v>497</v>
      </c>
      <c r="B175" s="2" t="s">
        <v>61</v>
      </c>
      <c r="C175" s="2"/>
      <c r="D175" s="2"/>
      <c r="E175" s="2" t="s">
        <v>498</v>
      </c>
      <c r="G175" s="2"/>
    </row>
    <row r="176" spans="1:7">
      <c r="A176" s="2" t="s">
        <v>497</v>
      </c>
      <c r="B176" s="2" t="s">
        <v>64</v>
      </c>
      <c r="C176" s="2"/>
      <c r="D176" s="2"/>
      <c r="E176" s="2" t="s">
        <v>498</v>
      </c>
      <c r="G176" s="2"/>
    </row>
    <row r="177" spans="1:7">
      <c r="A177" s="2" t="s">
        <v>497</v>
      </c>
      <c r="B177" s="2" t="s">
        <v>65</v>
      </c>
      <c r="C177" s="2"/>
      <c r="D177" s="2"/>
      <c r="E177" s="2" t="s">
        <v>498</v>
      </c>
      <c r="G177" s="2"/>
    </row>
    <row r="178" spans="1:7" ht="33.950000000000003">
      <c r="A178" s="5" t="s">
        <v>499</v>
      </c>
      <c r="B178" s="5" t="s">
        <v>381</v>
      </c>
      <c r="C178" s="5">
        <v>80.948499999999996</v>
      </c>
      <c r="D178" s="5"/>
      <c r="E178" s="5" t="s">
        <v>500</v>
      </c>
      <c r="F178" s="33" t="s">
        <v>501</v>
      </c>
      <c r="G178" s="27" t="s">
        <v>432</v>
      </c>
    </row>
    <row r="179" spans="1:7">
      <c r="A179" s="2" t="s">
        <v>499</v>
      </c>
      <c r="B179" s="2" t="s">
        <v>61</v>
      </c>
      <c r="C179" s="2"/>
      <c r="D179" s="2"/>
      <c r="E179" s="2" t="s">
        <v>500</v>
      </c>
      <c r="F179" s="29"/>
      <c r="G179" s="2"/>
    </row>
    <row r="180" spans="1:7">
      <c r="A180" s="2" t="s">
        <v>499</v>
      </c>
      <c r="B180" s="2" t="s">
        <v>64</v>
      </c>
      <c r="C180" s="2"/>
      <c r="D180" s="2"/>
      <c r="E180" s="2" t="s">
        <v>500</v>
      </c>
      <c r="F180" s="29"/>
      <c r="G180" s="2"/>
    </row>
    <row r="181" spans="1:7">
      <c r="A181" s="2" t="s">
        <v>499</v>
      </c>
      <c r="B181" s="2" t="s">
        <v>65</v>
      </c>
      <c r="C181" s="2"/>
      <c r="D181" s="2"/>
      <c r="E181" s="2" t="s">
        <v>500</v>
      </c>
      <c r="F181" s="29"/>
      <c r="G181" s="2"/>
    </row>
    <row r="182" spans="1:7" ht="33.950000000000003">
      <c r="A182" s="5" t="s">
        <v>502</v>
      </c>
      <c r="B182" s="5" t="s">
        <v>381</v>
      </c>
      <c r="C182" s="5">
        <v>74.235799999999998</v>
      </c>
      <c r="D182" s="5"/>
      <c r="E182" s="5" t="s">
        <v>503</v>
      </c>
      <c r="F182" s="33" t="s">
        <v>504</v>
      </c>
      <c r="G182" s="27" t="s">
        <v>432</v>
      </c>
    </row>
    <row r="183" spans="1:7">
      <c r="A183" s="2" t="s">
        <v>502</v>
      </c>
      <c r="B183" s="2" t="s">
        <v>61</v>
      </c>
      <c r="C183" s="2"/>
      <c r="D183" s="2"/>
      <c r="E183" s="2" t="s">
        <v>503</v>
      </c>
      <c r="F183" s="29"/>
      <c r="G183" s="2"/>
    </row>
    <row r="184" spans="1:7">
      <c r="A184" s="2" t="s">
        <v>502</v>
      </c>
      <c r="B184" s="2" t="s">
        <v>64</v>
      </c>
      <c r="C184" s="2"/>
      <c r="D184" s="2"/>
      <c r="E184" s="2" t="s">
        <v>503</v>
      </c>
      <c r="F184" s="29"/>
      <c r="G184" s="2"/>
    </row>
    <row r="185" spans="1:7">
      <c r="A185" s="2" t="s">
        <v>502</v>
      </c>
      <c r="B185" s="2" t="s">
        <v>65</v>
      </c>
      <c r="C185" s="2"/>
      <c r="D185" s="2"/>
      <c r="E185" s="2" t="s">
        <v>503</v>
      </c>
      <c r="F185" s="29"/>
      <c r="G185" s="2"/>
    </row>
    <row r="186" spans="1:7" ht="33.950000000000003">
      <c r="A186" s="5" t="s">
        <v>505</v>
      </c>
      <c r="B186" s="5" t="s">
        <v>381</v>
      </c>
      <c r="C186" s="5">
        <v>90</v>
      </c>
      <c r="D186" s="5"/>
      <c r="E186" s="5" t="s">
        <v>506</v>
      </c>
      <c r="F186" s="33" t="s">
        <v>507</v>
      </c>
      <c r="G186" s="27" t="s">
        <v>432</v>
      </c>
    </row>
    <row r="187" spans="1:7">
      <c r="A187" s="2" t="s">
        <v>505</v>
      </c>
      <c r="B187" s="2" t="s">
        <v>61</v>
      </c>
      <c r="C187" s="2"/>
      <c r="D187" s="2"/>
      <c r="E187" s="2" t="s">
        <v>506</v>
      </c>
      <c r="G187" s="2"/>
    </row>
    <row r="188" spans="1:7">
      <c r="A188" s="2" t="s">
        <v>505</v>
      </c>
      <c r="B188" s="2" t="s">
        <v>64</v>
      </c>
      <c r="C188" s="2"/>
      <c r="D188" s="2"/>
      <c r="E188" s="2" t="s">
        <v>506</v>
      </c>
      <c r="G188" s="2"/>
    </row>
    <row r="189" spans="1:7">
      <c r="A189" s="2" t="s">
        <v>505</v>
      </c>
      <c r="B189" s="2" t="s">
        <v>65</v>
      </c>
      <c r="C189" s="2"/>
      <c r="D189" s="2"/>
      <c r="E189" s="2" t="s">
        <v>506</v>
      </c>
      <c r="G189" s="2"/>
    </row>
  </sheetData>
  <conditionalFormatting sqref="A2:G189">
    <cfRule type="expression" dxfId="43" priority="1">
      <formula>$C2=""</formula>
    </cfRule>
  </conditionalFormatting>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E132F-F935-C344-AF2E-7462F842A020}">
  <sheetPr>
    <tabColor theme="5"/>
  </sheetPr>
  <dimension ref="A1:O116"/>
  <sheetViews>
    <sheetView showGridLines="0" zoomScale="115" zoomScaleNormal="90" workbookViewId="0">
      <pane ySplit="1" topLeftCell="A85" activePane="bottomLeft" state="frozen"/>
      <selection pane="bottomLeft" activeCell="K89" sqref="K89"/>
    </sheetView>
  </sheetViews>
  <sheetFormatPr defaultColWidth="11" defaultRowHeight="15.95"/>
  <cols>
    <col min="1" max="1" width="18.125" customWidth="1"/>
    <col min="6" max="6" width="11.125" customWidth="1"/>
    <col min="9" max="9" width="14.375" customWidth="1"/>
    <col min="10" max="10" width="32.625" bestFit="1" customWidth="1"/>
    <col min="11" max="11" width="41.125" customWidth="1"/>
    <col min="12" max="12" width="45.125" customWidth="1"/>
  </cols>
  <sheetData>
    <row r="1" spans="1:13">
      <c r="A1" s="1" t="s">
        <v>89</v>
      </c>
      <c r="B1" s="1" t="s">
        <v>101</v>
      </c>
      <c r="C1" s="1" t="s">
        <v>100</v>
      </c>
      <c r="D1" s="1" t="s">
        <v>90</v>
      </c>
      <c r="E1" s="1" t="s">
        <v>91</v>
      </c>
      <c r="F1" s="1" t="s">
        <v>92</v>
      </c>
      <c r="G1" s="1" t="s">
        <v>93</v>
      </c>
      <c r="H1" s="1" t="s">
        <v>94</v>
      </c>
      <c r="I1" s="1" t="s">
        <v>102</v>
      </c>
      <c r="J1" s="1" t="s">
        <v>96</v>
      </c>
      <c r="K1" s="1" t="s">
        <v>97</v>
      </c>
      <c r="L1" s="1" t="s">
        <v>98</v>
      </c>
    </row>
    <row r="2" spans="1:13">
      <c r="A2" s="2" t="s">
        <v>508</v>
      </c>
      <c r="B2" s="2" t="s">
        <v>381</v>
      </c>
      <c r="C2" s="2">
        <v>0</v>
      </c>
      <c r="D2" s="2">
        <v>1977.42</v>
      </c>
      <c r="I2" s="2" t="s">
        <v>511</v>
      </c>
      <c r="J2" s="2" t="s">
        <v>509</v>
      </c>
      <c r="L2" t="s">
        <v>510</v>
      </c>
    </row>
    <row r="3" spans="1:13">
      <c r="A3" s="2" t="s">
        <v>508</v>
      </c>
      <c r="B3" s="2" t="s">
        <v>381</v>
      </c>
      <c r="C3" s="2">
        <v>1</v>
      </c>
      <c r="D3" s="2">
        <v>1516.33</v>
      </c>
      <c r="I3" s="2" t="s">
        <v>514</v>
      </c>
      <c r="J3" s="2" t="s">
        <v>512</v>
      </c>
      <c r="L3" t="s">
        <v>513</v>
      </c>
    </row>
    <row r="4" spans="1:13">
      <c r="A4" s="2" t="s">
        <v>508</v>
      </c>
      <c r="B4" s="2" t="s">
        <v>381</v>
      </c>
      <c r="C4" s="2">
        <v>2</v>
      </c>
      <c r="D4" s="2">
        <v>1725.75</v>
      </c>
      <c r="I4" s="2" t="s">
        <v>516</v>
      </c>
      <c r="J4" s="2" t="s">
        <v>515</v>
      </c>
      <c r="L4" t="s">
        <v>513</v>
      </c>
    </row>
    <row r="5" spans="1:13">
      <c r="A5" s="2" t="s">
        <v>508</v>
      </c>
      <c r="B5" s="2" t="s">
        <v>381</v>
      </c>
      <c r="C5" s="2">
        <v>3</v>
      </c>
      <c r="D5" s="2">
        <v>427.17</v>
      </c>
      <c r="I5" s="2" t="s">
        <v>518</v>
      </c>
      <c r="J5" s="2" t="s">
        <v>517</v>
      </c>
      <c r="L5" t="s">
        <v>513</v>
      </c>
    </row>
    <row r="6" spans="1:13">
      <c r="A6" s="2" t="s">
        <v>508</v>
      </c>
      <c r="B6" s="2" t="s">
        <v>61</v>
      </c>
      <c r="C6" s="2">
        <v>0</v>
      </c>
      <c r="D6" s="2">
        <v>46.32</v>
      </c>
      <c r="I6" s="2" t="s">
        <v>511</v>
      </c>
      <c r="J6" s="2" t="s">
        <v>519</v>
      </c>
      <c r="M6" s="96" t="s">
        <v>1071</v>
      </c>
    </row>
    <row r="7" spans="1:13">
      <c r="A7" s="2" t="s">
        <v>508</v>
      </c>
      <c r="B7" s="2" t="s">
        <v>61</v>
      </c>
      <c r="C7" s="2">
        <v>1</v>
      </c>
      <c r="D7" s="2">
        <v>484.67</v>
      </c>
      <c r="I7" s="2" t="s">
        <v>514</v>
      </c>
      <c r="J7" s="2" t="s">
        <v>520</v>
      </c>
      <c r="K7" t="s">
        <v>521</v>
      </c>
      <c r="L7" s="25" t="s">
        <v>67</v>
      </c>
      <c r="M7" s="96" t="s">
        <v>1071</v>
      </c>
    </row>
    <row r="8" spans="1:13">
      <c r="A8" s="2" t="s">
        <v>508</v>
      </c>
      <c r="B8" s="2" t="s">
        <v>61</v>
      </c>
      <c r="C8" s="2">
        <v>2</v>
      </c>
      <c r="D8" s="2">
        <v>1448.1</v>
      </c>
      <c r="I8" s="2" t="s">
        <v>516</v>
      </c>
      <c r="J8" s="2" t="s">
        <v>522</v>
      </c>
      <c r="K8" t="s">
        <v>521</v>
      </c>
      <c r="L8" s="25" t="s">
        <v>67</v>
      </c>
      <c r="M8" s="96" t="s">
        <v>1071</v>
      </c>
    </row>
    <row r="9" spans="1:13">
      <c r="A9" s="2" t="s">
        <v>508</v>
      </c>
      <c r="B9" s="2" t="s">
        <v>61</v>
      </c>
      <c r="C9" s="2">
        <v>3</v>
      </c>
      <c r="D9" s="2">
        <v>667.7</v>
      </c>
      <c r="I9" s="2" t="s">
        <v>518</v>
      </c>
      <c r="J9" s="2" t="s">
        <v>523</v>
      </c>
      <c r="K9" t="s">
        <v>521</v>
      </c>
      <c r="L9" s="25" t="s">
        <v>67</v>
      </c>
      <c r="M9" s="96" t="s">
        <v>1071</v>
      </c>
    </row>
    <row r="10" spans="1:13">
      <c r="A10" s="2" t="s">
        <v>508</v>
      </c>
      <c r="B10" s="2" t="s">
        <v>64</v>
      </c>
      <c r="C10" s="2">
        <v>0</v>
      </c>
      <c r="D10" s="2">
        <v>38.33</v>
      </c>
      <c r="I10" s="2" t="s">
        <v>511</v>
      </c>
      <c r="J10" s="2" t="s">
        <v>519</v>
      </c>
      <c r="M10" s="96" t="s">
        <v>1071</v>
      </c>
    </row>
    <row r="11" spans="1:13">
      <c r="A11" s="2" t="s">
        <v>508</v>
      </c>
      <c r="B11" s="2" t="s">
        <v>64</v>
      </c>
      <c r="C11" s="2">
        <v>1</v>
      </c>
      <c r="D11" s="2">
        <f>139.22+213.75</f>
        <v>352.97</v>
      </c>
      <c r="I11" s="2" t="s">
        <v>514</v>
      </c>
      <c r="J11" s="2" t="s">
        <v>520</v>
      </c>
      <c r="K11" t="s">
        <v>521</v>
      </c>
      <c r="L11" s="25" t="s">
        <v>67</v>
      </c>
      <c r="M11" s="96" t="s">
        <v>1071</v>
      </c>
    </row>
    <row r="12" spans="1:13">
      <c r="A12" s="2" t="s">
        <v>508</v>
      </c>
      <c r="B12" s="2" t="s">
        <v>64</v>
      </c>
      <c r="C12" s="2">
        <v>2</v>
      </c>
      <c r="D12" s="2">
        <v>1375.2</v>
      </c>
      <c r="I12" s="2" t="s">
        <v>516</v>
      </c>
      <c r="J12" s="2" t="s">
        <v>522</v>
      </c>
      <c r="K12" t="s">
        <v>521</v>
      </c>
      <c r="L12" s="25" t="s">
        <v>67</v>
      </c>
      <c r="M12" s="96" t="s">
        <v>1071</v>
      </c>
    </row>
    <row r="13" spans="1:13">
      <c r="A13" s="2" t="s">
        <v>508</v>
      </c>
      <c r="B13" s="2" t="s">
        <v>64</v>
      </c>
      <c r="C13" s="2">
        <v>3</v>
      </c>
      <c r="D13" s="2">
        <v>0</v>
      </c>
      <c r="I13" s="2" t="s">
        <v>518</v>
      </c>
      <c r="J13" s="2" t="s">
        <v>523</v>
      </c>
      <c r="K13" t="s">
        <v>521</v>
      </c>
      <c r="L13" s="25" t="s">
        <v>67</v>
      </c>
      <c r="M13" s="96" t="s">
        <v>1071</v>
      </c>
    </row>
    <row r="14" spans="1:13">
      <c r="A14" s="2" t="s">
        <v>508</v>
      </c>
      <c r="B14" s="2" t="s">
        <v>65</v>
      </c>
      <c r="C14" s="2">
        <v>0</v>
      </c>
      <c r="D14" s="2">
        <v>52.8</v>
      </c>
      <c r="I14" s="2" t="s">
        <v>511</v>
      </c>
      <c r="J14" s="2" t="s">
        <v>519</v>
      </c>
      <c r="M14" s="96" t="s">
        <v>1071</v>
      </c>
    </row>
    <row r="15" spans="1:13">
      <c r="A15" s="2" t="s">
        <v>508</v>
      </c>
      <c r="B15" s="2" t="s">
        <v>65</v>
      </c>
      <c r="C15" s="2">
        <v>1</v>
      </c>
      <c r="D15" s="2">
        <f>123.25+460.33</f>
        <v>583.57999999999993</v>
      </c>
      <c r="I15" s="2" t="s">
        <v>514</v>
      </c>
      <c r="J15" s="2" t="s">
        <v>520</v>
      </c>
      <c r="K15" t="s">
        <v>521</v>
      </c>
      <c r="L15" s="25" t="s">
        <v>67</v>
      </c>
      <c r="M15" s="96" t="s">
        <v>1071</v>
      </c>
    </row>
    <row r="16" spans="1:13">
      <c r="A16" s="2" t="s">
        <v>508</v>
      </c>
      <c r="B16" s="2" t="s">
        <v>65</v>
      </c>
      <c r="C16" s="2">
        <v>2</v>
      </c>
      <c r="D16" s="2">
        <v>1427.03</v>
      </c>
      <c r="I16" s="2" t="s">
        <v>516</v>
      </c>
      <c r="J16" s="2" t="s">
        <v>522</v>
      </c>
      <c r="K16" t="s">
        <v>521</v>
      </c>
      <c r="L16" s="25" t="s">
        <v>67</v>
      </c>
      <c r="M16" s="96" t="s">
        <v>1071</v>
      </c>
    </row>
    <row r="17" spans="1:13">
      <c r="A17" s="2" t="s">
        <v>508</v>
      </c>
      <c r="B17" s="2" t="s">
        <v>65</v>
      </c>
      <c r="C17" s="2">
        <v>3</v>
      </c>
      <c r="D17" s="2">
        <v>576.64</v>
      </c>
      <c r="I17" s="2" t="s">
        <v>518</v>
      </c>
      <c r="J17" s="2" t="s">
        <v>523</v>
      </c>
      <c r="K17" t="s">
        <v>521</v>
      </c>
      <c r="L17" s="25" t="s">
        <v>67</v>
      </c>
      <c r="M17" s="96" t="s">
        <v>1071</v>
      </c>
    </row>
    <row r="18" spans="1:13">
      <c r="A18" s="5" t="s">
        <v>524</v>
      </c>
      <c r="B18" s="5" t="s">
        <v>381</v>
      </c>
      <c r="C18" s="5">
        <v>0</v>
      </c>
      <c r="D18" s="5">
        <v>0</v>
      </c>
      <c r="I18" s="5" t="s">
        <v>511</v>
      </c>
      <c r="J18" s="5" t="s">
        <v>525</v>
      </c>
      <c r="L18" s="25" t="s">
        <v>74</v>
      </c>
      <c r="M18" s="97" t="s">
        <v>1059</v>
      </c>
    </row>
    <row r="19" spans="1:13">
      <c r="A19" s="5" t="s">
        <v>524</v>
      </c>
      <c r="B19" s="5" t="s">
        <v>381</v>
      </c>
      <c r="C19" s="5">
        <v>1</v>
      </c>
      <c r="D19" s="5">
        <v>0</v>
      </c>
      <c r="I19" s="5" t="s">
        <v>514</v>
      </c>
      <c r="J19" s="5" t="s">
        <v>526</v>
      </c>
      <c r="L19" s="25" t="s">
        <v>74</v>
      </c>
      <c r="M19" s="97" t="s">
        <v>1059</v>
      </c>
    </row>
    <row r="20" spans="1:13" ht="33.950000000000003">
      <c r="A20" s="5" t="s">
        <v>524</v>
      </c>
      <c r="B20" s="5" t="s">
        <v>381</v>
      </c>
      <c r="C20" s="5">
        <v>2</v>
      </c>
      <c r="D20" s="5">
        <v>0</v>
      </c>
      <c r="I20" s="5" t="s">
        <v>516</v>
      </c>
      <c r="J20" s="5" t="s">
        <v>527</v>
      </c>
      <c r="K20" s="33" t="s">
        <v>528</v>
      </c>
      <c r="L20" s="25" t="s">
        <v>74</v>
      </c>
      <c r="M20" s="97" t="s">
        <v>1059</v>
      </c>
    </row>
    <row r="21" spans="1:13">
      <c r="A21" s="5" t="s">
        <v>524</v>
      </c>
      <c r="B21" s="5" t="s">
        <v>381</v>
      </c>
      <c r="C21" s="5">
        <v>3</v>
      </c>
      <c r="D21" s="5">
        <v>0</v>
      </c>
      <c r="I21" s="5" t="s">
        <v>518</v>
      </c>
      <c r="J21" s="5" t="s">
        <v>529</v>
      </c>
      <c r="L21" s="25" t="s">
        <v>74</v>
      </c>
      <c r="M21" s="97" t="s">
        <v>1059</v>
      </c>
    </row>
    <row r="22" spans="1:13">
      <c r="A22" s="2" t="s">
        <v>524</v>
      </c>
      <c r="B22" s="2" t="s">
        <v>61</v>
      </c>
      <c r="C22" s="2">
        <v>0</v>
      </c>
      <c r="D22" s="2"/>
      <c r="I22" s="2" t="s">
        <v>511</v>
      </c>
      <c r="J22" s="2" t="s">
        <v>525</v>
      </c>
      <c r="K22" s="21" t="s">
        <v>530</v>
      </c>
      <c r="L22" t="s">
        <v>74</v>
      </c>
      <c r="M22" s="97" t="s">
        <v>1059</v>
      </c>
    </row>
    <row r="23" spans="1:13">
      <c r="A23" s="2" t="s">
        <v>524</v>
      </c>
      <c r="B23" s="2" t="s">
        <v>61</v>
      </c>
      <c r="C23" s="2">
        <v>1</v>
      </c>
      <c r="D23" s="2"/>
      <c r="I23" s="2" t="s">
        <v>514</v>
      </c>
      <c r="J23" s="2" t="s">
        <v>526</v>
      </c>
      <c r="K23" s="61" t="s">
        <v>530</v>
      </c>
      <c r="L23" t="s">
        <v>74</v>
      </c>
      <c r="M23" s="97" t="s">
        <v>1059</v>
      </c>
    </row>
    <row r="24" spans="1:13">
      <c r="A24" s="2" t="s">
        <v>524</v>
      </c>
      <c r="B24" s="2" t="s">
        <v>61</v>
      </c>
      <c r="C24" s="2">
        <v>2</v>
      </c>
      <c r="D24" s="2"/>
      <c r="I24" s="2" t="s">
        <v>516</v>
      </c>
      <c r="J24" s="2" t="s">
        <v>527</v>
      </c>
      <c r="K24" s="61" t="s">
        <v>530</v>
      </c>
      <c r="L24" t="s">
        <v>74</v>
      </c>
      <c r="M24" s="97" t="s">
        <v>1059</v>
      </c>
    </row>
    <row r="25" spans="1:13">
      <c r="A25" s="2" t="s">
        <v>524</v>
      </c>
      <c r="B25" s="2" t="s">
        <v>61</v>
      </c>
      <c r="C25" s="2">
        <v>3</v>
      </c>
      <c r="D25" s="2"/>
      <c r="I25" s="2" t="s">
        <v>518</v>
      </c>
      <c r="J25" s="2" t="s">
        <v>529</v>
      </c>
      <c r="K25" s="61" t="s">
        <v>530</v>
      </c>
      <c r="L25" t="s">
        <v>74</v>
      </c>
      <c r="M25" s="97" t="s">
        <v>1059</v>
      </c>
    </row>
    <row r="26" spans="1:13" ht="33.950000000000003">
      <c r="A26" s="91" t="s">
        <v>524</v>
      </c>
      <c r="B26" s="91" t="s">
        <v>61</v>
      </c>
      <c r="C26" s="91">
        <v>4</v>
      </c>
      <c r="D26" s="95" t="s">
        <v>531</v>
      </c>
      <c r="E26" s="92"/>
      <c r="F26" s="92"/>
      <c r="G26" s="92"/>
      <c r="H26" s="92"/>
      <c r="I26" s="91" t="s">
        <v>535</v>
      </c>
      <c r="J26" s="91" t="s">
        <v>532</v>
      </c>
      <c r="K26" s="93" t="s">
        <v>533</v>
      </c>
      <c r="L26" s="63" t="s">
        <v>534</v>
      </c>
      <c r="M26" s="97" t="s">
        <v>1059</v>
      </c>
    </row>
    <row r="27" spans="1:13">
      <c r="A27" s="2" t="s">
        <v>524</v>
      </c>
      <c r="B27" s="2" t="s">
        <v>64</v>
      </c>
      <c r="C27" s="2">
        <v>0</v>
      </c>
      <c r="D27" s="2"/>
      <c r="I27" s="2" t="s">
        <v>511</v>
      </c>
      <c r="J27" s="2" t="s">
        <v>525</v>
      </c>
      <c r="L27" t="s">
        <v>74</v>
      </c>
      <c r="M27" s="97" t="s">
        <v>1059</v>
      </c>
    </row>
    <row r="28" spans="1:13">
      <c r="A28" s="2" t="s">
        <v>524</v>
      </c>
      <c r="B28" s="2" t="s">
        <v>64</v>
      </c>
      <c r="C28" s="2">
        <v>1</v>
      </c>
      <c r="D28" s="2"/>
      <c r="I28" s="2" t="s">
        <v>514</v>
      </c>
      <c r="J28" s="2" t="s">
        <v>526</v>
      </c>
      <c r="L28" t="s">
        <v>74</v>
      </c>
      <c r="M28" s="97" t="s">
        <v>1059</v>
      </c>
    </row>
    <row r="29" spans="1:13">
      <c r="A29" s="2" t="s">
        <v>524</v>
      </c>
      <c r="B29" s="2" t="s">
        <v>64</v>
      </c>
      <c r="C29" s="2">
        <v>2</v>
      </c>
      <c r="D29" s="2"/>
      <c r="I29" s="2" t="s">
        <v>516</v>
      </c>
      <c r="J29" s="2" t="s">
        <v>527</v>
      </c>
      <c r="L29" t="s">
        <v>74</v>
      </c>
      <c r="M29" s="97" t="s">
        <v>1059</v>
      </c>
    </row>
    <row r="30" spans="1:13">
      <c r="A30" s="2" t="s">
        <v>524</v>
      </c>
      <c r="B30" s="2" t="s">
        <v>64</v>
      </c>
      <c r="C30" s="2">
        <v>3</v>
      </c>
      <c r="D30" s="2"/>
      <c r="I30" s="2" t="s">
        <v>518</v>
      </c>
      <c r="J30" s="2" t="s">
        <v>529</v>
      </c>
      <c r="L30" t="s">
        <v>74</v>
      </c>
      <c r="M30" s="97" t="s">
        <v>1059</v>
      </c>
    </row>
    <row r="31" spans="1:13" ht="33.950000000000003">
      <c r="A31" s="91" t="s">
        <v>524</v>
      </c>
      <c r="B31" s="91" t="s">
        <v>64</v>
      </c>
      <c r="C31" s="91">
        <v>4</v>
      </c>
      <c r="D31" s="95"/>
      <c r="E31" s="92"/>
      <c r="F31" s="92"/>
      <c r="G31" s="92"/>
      <c r="H31" s="92"/>
      <c r="I31" s="91" t="s">
        <v>535</v>
      </c>
      <c r="J31" s="91" t="s">
        <v>532</v>
      </c>
      <c r="K31" s="93" t="s">
        <v>533</v>
      </c>
      <c r="L31" s="63" t="s">
        <v>534</v>
      </c>
      <c r="M31" s="97" t="s">
        <v>1059</v>
      </c>
    </row>
    <row r="32" spans="1:13">
      <c r="A32" s="2" t="s">
        <v>524</v>
      </c>
      <c r="B32" s="2" t="s">
        <v>65</v>
      </c>
      <c r="C32" s="2">
        <v>0</v>
      </c>
      <c r="D32" s="2"/>
      <c r="I32" s="2" t="s">
        <v>511</v>
      </c>
      <c r="J32" s="2" t="s">
        <v>525</v>
      </c>
      <c r="L32" t="s">
        <v>74</v>
      </c>
      <c r="M32" s="97" t="s">
        <v>1059</v>
      </c>
    </row>
    <row r="33" spans="1:14">
      <c r="A33" s="2" t="s">
        <v>524</v>
      </c>
      <c r="B33" s="2" t="s">
        <v>65</v>
      </c>
      <c r="C33" s="2">
        <v>1</v>
      </c>
      <c r="D33" s="2"/>
      <c r="I33" s="2" t="s">
        <v>514</v>
      </c>
      <c r="J33" s="2" t="s">
        <v>526</v>
      </c>
      <c r="L33" t="s">
        <v>74</v>
      </c>
      <c r="M33" s="97" t="s">
        <v>1059</v>
      </c>
    </row>
    <row r="34" spans="1:14">
      <c r="A34" s="2" t="s">
        <v>524</v>
      </c>
      <c r="B34" s="2" t="s">
        <v>65</v>
      </c>
      <c r="C34" s="2">
        <v>2</v>
      </c>
      <c r="D34" s="2"/>
      <c r="I34" s="2" t="s">
        <v>516</v>
      </c>
      <c r="J34" s="2" t="s">
        <v>527</v>
      </c>
      <c r="L34" t="s">
        <v>74</v>
      </c>
      <c r="M34" s="97" t="s">
        <v>1059</v>
      </c>
    </row>
    <row r="35" spans="1:14">
      <c r="A35" s="2" t="s">
        <v>524</v>
      </c>
      <c r="B35" s="2" t="s">
        <v>65</v>
      </c>
      <c r="C35" s="2">
        <v>3</v>
      </c>
      <c r="D35" s="2"/>
      <c r="I35" s="2" t="s">
        <v>518</v>
      </c>
      <c r="J35" s="2" t="s">
        <v>529</v>
      </c>
      <c r="L35" t="s">
        <v>74</v>
      </c>
      <c r="M35" s="97" t="s">
        <v>1059</v>
      </c>
    </row>
    <row r="36" spans="1:14" ht="33.950000000000003">
      <c r="A36" s="91" t="s">
        <v>524</v>
      </c>
      <c r="B36" s="91" t="s">
        <v>65</v>
      </c>
      <c r="C36" s="91">
        <v>4</v>
      </c>
      <c r="D36" s="95"/>
      <c r="E36" s="92"/>
      <c r="F36" s="92"/>
      <c r="G36" s="92"/>
      <c r="H36" s="92"/>
      <c r="I36" s="91" t="s">
        <v>535</v>
      </c>
      <c r="J36" s="91" t="s">
        <v>532</v>
      </c>
      <c r="K36" s="93" t="s">
        <v>533</v>
      </c>
      <c r="L36" s="63" t="s">
        <v>534</v>
      </c>
      <c r="M36" s="97" t="s">
        <v>1059</v>
      </c>
    </row>
    <row r="37" spans="1:14" ht="33.950000000000003">
      <c r="A37" s="5" t="s">
        <v>536</v>
      </c>
      <c r="B37" s="5" t="s">
        <v>381</v>
      </c>
      <c r="C37" s="5">
        <v>0</v>
      </c>
      <c r="D37" s="5">
        <v>0</v>
      </c>
      <c r="E37" s="6"/>
      <c r="F37" s="6"/>
      <c r="G37" s="6"/>
      <c r="H37" s="6"/>
      <c r="I37" s="5" t="s">
        <v>511</v>
      </c>
      <c r="J37" s="5" t="s">
        <v>537</v>
      </c>
      <c r="K37" s="29" t="s">
        <v>538</v>
      </c>
      <c r="L37" s="25" t="s">
        <v>77</v>
      </c>
      <c r="M37" s="97" t="s">
        <v>1059</v>
      </c>
    </row>
    <row r="38" spans="1:14" ht="68.099999999999994">
      <c r="A38" s="5" t="s">
        <v>536</v>
      </c>
      <c r="B38" s="5" t="s">
        <v>381</v>
      </c>
      <c r="C38" s="5">
        <v>1</v>
      </c>
      <c r="D38" s="99">
        <f>0.68*0.73+0.32*0</f>
        <v>0.49640000000000001</v>
      </c>
      <c r="E38" s="6"/>
      <c r="F38" s="6"/>
      <c r="G38" s="6"/>
      <c r="H38" s="6"/>
      <c r="I38" s="5" t="s">
        <v>514</v>
      </c>
      <c r="J38" s="5" t="s">
        <v>539</v>
      </c>
      <c r="K38" s="29" t="s">
        <v>540</v>
      </c>
      <c r="L38" s="103" t="s">
        <v>541</v>
      </c>
      <c r="M38" s="97" t="s">
        <v>1059</v>
      </c>
      <c r="N38" s="28" t="s">
        <v>1072</v>
      </c>
    </row>
    <row r="39" spans="1:14">
      <c r="A39" s="5" t="s">
        <v>536</v>
      </c>
      <c r="B39" s="5" t="s">
        <v>381</v>
      </c>
      <c r="C39" s="5">
        <v>2</v>
      </c>
      <c r="D39" s="5">
        <v>0.77</v>
      </c>
      <c r="E39" s="6"/>
      <c r="F39" s="6"/>
      <c r="G39" s="6"/>
      <c r="H39" s="6"/>
      <c r="I39" s="5" t="s">
        <v>516</v>
      </c>
      <c r="J39" s="5" t="s">
        <v>542</v>
      </c>
      <c r="K39" s="29"/>
      <c r="L39" s="25" t="s">
        <v>77</v>
      </c>
      <c r="M39" s="97" t="s">
        <v>1059</v>
      </c>
    </row>
    <row r="40" spans="1:14">
      <c r="A40" s="5" t="s">
        <v>536</v>
      </c>
      <c r="B40" s="5" t="s">
        <v>381</v>
      </c>
      <c r="C40" s="5">
        <v>3</v>
      </c>
      <c r="D40" s="5">
        <v>0.77</v>
      </c>
      <c r="E40" s="6"/>
      <c r="F40" s="6"/>
      <c r="G40" s="6"/>
      <c r="H40" s="6"/>
      <c r="I40" s="5" t="s">
        <v>518</v>
      </c>
      <c r="J40" s="5" t="s">
        <v>543</v>
      </c>
      <c r="K40" s="29"/>
      <c r="L40" s="25" t="s">
        <v>77</v>
      </c>
      <c r="M40" s="97" t="s">
        <v>1059</v>
      </c>
    </row>
    <row r="41" spans="1:14" ht="68.099999999999994">
      <c r="A41" s="90" t="s">
        <v>536</v>
      </c>
      <c r="B41" s="91" t="s">
        <v>381</v>
      </c>
      <c r="C41" s="91">
        <v>4</v>
      </c>
      <c r="D41" s="95">
        <v>0.73</v>
      </c>
      <c r="E41" s="92"/>
      <c r="F41" s="92"/>
      <c r="G41" s="92"/>
      <c r="H41" s="92"/>
      <c r="I41" s="91" t="s">
        <v>535</v>
      </c>
      <c r="J41" s="91" t="s">
        <v>544</v>
      </c>
      <c r="K41" s="93" t="s">
        <v>545</v>
      </c>
      <c r="L41" s="100" t="s">
        <v>546</v>
      </c>
      <c r="M41" s="97" t="s">
        <v>1059</v>
      </c>
    </row>
    <row r="42" spans="1:14">
      <c r="A42" s="2" t="s">
        <v>536</v>
      </c>
      <c r="B42" s="2" t="s">
        <v>61</v>
      </c>
      <c r="C42" s="2">
        <v>0</v>
      </c>
      <c r="D42" s="2">
        <v>0</v>
      </c>
      <c r="I42" s="2" t="s">
        <v>511</v>
      </c>
      <c r="J42" s="2" t="s">
        <v>537</v>
      </c>
      <c r="K42" t="s">
        <v>547</v>
      </c>
      <c r="L42" s="102" t="s">
        <v>548</v>
      </c>
      <c r="M42" s="97" t="s">
        <v>1059</v>
      </c>
    </row>
    <row r="43" spans="1:14" ht="68.099999999999994">
      <c r="A43" s="2" t="s">
        <v>536</v>
      </c>
      <c r="B43" s="2" t="s">
        <v>61</v>
      </c>
      <c r="C43" s="2">
        <v>1</v>
      </c>
      <c r="D43" s="2">
        <f>0.6*0.83+0.6*0.17</f>
        <v>0.6</v>
      </c>
      <c r="I43" s="2" t="s">
        <v>514</v>
      </c>
      <c r="J43" s="2" t="s">
        <v>539</v>
      </c>
      <c r="K43" s="29" t="s">
        <v>540</v>
      </c>
      <c r="L43" s="101" t="s">
        <v>549</v>
      </c>
      <c r="M43" s="97" t="s">
        <v>1059</v>
      </c>
    </row>
    <row r="44" spans="1:14">
      <c r="A44" s="2" t="s">
        <v>536</v>
      </c>
      <c r="B44" s="2" t="s">
        <v>61</v>
      </c>
      <c r="C44" s="2">
        <v>2</v>
      </c>
      <c r="D44" s="2">
        <v>0.6</v>
      </c>
      <c r="I44" s="2" t="s">
        <v>516</v>
      </c>
      <c r="J44" s="2" t="s">
        <v>542</v>
      </c>
      <c r="K44" t="s">
        <v>550</v>
      </c>
      <c r="L44" s="102" t="s">
        <v>551</v>
      </c>
      <c r="M44" s="97" t="s">
        <v>1059</v>
      </c>
    </row>
    <row r="45" spans="1:14" ht="33.950000000000003">
      <c r="A45" s="2" t="s">
        <v>536</v>
      </c>
      <c r="B45" s="2" t="s">
        <v>61</v>
      </c>
      <c r="C45" s="2">
        <v>3</v>
      </c>
      <c r="D45" s="2">
        <v>0.6</v>
      </c>
      <c r="I45" s="2" t="s">
        <v>518</v>
      </c>
      <c r="J45" s="2" t="s">
        <v>543</v>
      </c>
      <c r="K45" s="29" t="s">
        <v>552</v>
      </c>
      <c r="L45" s="102" t="s">
        <v>551</v>
      </c>
      <c r="M45" s="97" t="s">
        <v>1059</v>
      </c>
    </row>
    <row r="46" spans="1:14" ht="84.95">
      <c r="A46" s="91" t="s">
        <v>536</v>
      </c>
      <c r="B46" s="91" t="s">
        <v>61</v>
      </c>
      <c r="C46" s="91">
        <v>4</v>
      </c>
      <c r="D46" s="91">
        <v>0.6</v>
      </c>
      <c r="E46" s="63"/>
      <c r="F46" s="63"/>
      <c r="G46" s="63"/>
      <c r="H46" s="63"/>
      <c r="I46" s="91" t="s">
        <v>535</v>
      </c>
      <c r="J46" s="91" t="s">
        <v>544</v>
      </c>
      <c r="K46" s="93" t="s">
        <v>553</v>
      </c>
      <c r="L46" s="104" t="s">
        <v>551</v>
      </c>
      <c r="M46" s="97" t="s">
        <v>1059</v>
      </c>
    </row>
    <row r="47" spans="1:14">
      <c r="A47" s="2" t="s">
        <v>536</v>
      </c>
      <c r="B47" s="2" t="s">
        <v>64</v>
      </c>
      <c r="C47" s="2">
        <v>0</v>
      </c>
      <c r="D47" s="2">
        <v>0</v>
      </c>
      <c r="I47" s="2" t="s">
        <v>511</v>
      </c>
      <c r="J47" s="2" t="s">
        <v>537</v>
      </c>
      <c r="K47" t="s">
        <v>547</v>
      </c>
      <c r="L47" s="102" t="s">
        <v>548</v>
      </c>
      <c r="M47" s="97" t="s">
        <v>1059</v>
      </c>
    </row>
    <row r="48" spans="1:14" ht="68.099999999999994">
      <c r="A48" s="2" t="s">
        <v>536</v>
      </c>
      <c r="B48" s="2" t="s">
        <v>64</v>
      </c>
      <c r="C48" s="2">
        <v>1</v>
      </c>
      <c r="D48" s="2">
        <f>0.73*0.61+0*0.39</f>
        <v>0.44529999999999997</v>
      </c>
      <c r="I48" s="2" t="s">
        <v>514</v>
      </c>
      <c r="J48" s="2" t="s">
        <v>539</v>
      </c>
      <c r="K48" s="29" t="s">
        <v>540</v>
      </c>
      <c r="L48" s="101" t="s">
        <v>554</v>
      </c>
      <c r="M48" s="97" t="s">
        <v>1059</v>
      </c>
    </row>
    <row r="49" spans="1:13" ht="33.950000000000003">
      <c r="A49" s="2" t="s">
        <v>536</v>
      </c>
      <c r="B49" s="2" t="s">
        <v>64</v>
      </c>
      <c r="C49" s="2">
        <v>2</v>
      </c>
      <c r="D49" s="2">
        <v>0.91</v>
      </c>
      <c r="I49" s="2" t="s">
        <v>516</v>
      </c>
      <c r="J49" s="2" t="s">
        <v>542</v>
      </c>
      <c r="K49" t="s">
        <v>550</v>
      </c>
      <c r="L49" s="101" t="s">
        <v>555</v>
      </c>
      <c r="M49" s="97" t="s">
        <v>1059</v>
      </c>
    </row>
    <row r="50" spans="1:13" ht="33.950000000000003">
      <c r="A50" s="2" t="s">
        <v>536</v>
      </c>
      <c r="B50" s="2" t="s">
        <v>64</v>
      </c>
      <c r="C50" s="2">
        <v>3</v>
      </c>
      <c r="D50" s="2">
        <v>0.91</v>
      </c>
      <c r="I50" s="2" t="s">
        <v>518</v>
      </c>
      <c r="J50" s="2" t="s">
        <v>543</v>
      </c>
      <c r="K50" t="s">
        <v>556</v>
      </c>
      <c r="L50" s="101" t="s">
        <v>555</v>
      </c>
      <c r="M50" s="97" t="s">
        <v>1059</v>
      </c>
    </row>
    <row r="51" spans="1:13" ht="68.099999999999994">
      <c r="A51" s="91" t="s">
        <v>536</v>
      </c>
      <c r="B51" s="91" t="s">
        <v>64</v>
      </c>
      <c r="C51" s="91">
        <v>4</v>
      </c>
      <c r="D51" s="91">
        <v>0.73</v>
      </c>
      <c r="E51" s="63"/>
      <c r="F51" s="63"/>
      <c r="G51" s="63"/>
      <c r="H51" s="63"/>
      <c r="I51" s="91" t="s">
        <v>535</v>
      </c>
      <c r="J51" s="91" t="s">
        <v>544</v>
      </c>
      <c r="K51" s="93" t="s">
        <v>557</v>
      </c>
      <c r="L51" s="105" t="s">
        <v>555</v>
      </c>
      <c r="M51" s="97"/>
    </row>
    <row r="52" spans="1:13">
      <c r="A52" s="2" t="s">
        <v>536</v>
      </c>
      <c r="B52" s="2" t="s">
        <v>65</v>
      </c>
      <c r="C52" s="2">
        <v>0</v>
      </c>
      <c r="D52" s="2">
        <v>0</v>
      </c>
      <c r="I52" s="2" t="s">
        <v>511</v>
      </c>
      <c r="J52" s="2" t="s">
        <v>537</v>
      </c>
      <c r="K52" t="s">
        <v>547</v>
      </c>
      <c r="L52" s="102" t="s">
        <v>548</v>
      </c>
      <c r="M52" s="97" t="s">
        <v>1059</v>
      </c>
    </row>
    <row r="53" spans="1:13">
      <c r="A53" s="2" t="s">
        <v>536</v>
      </c>
      <c r="B53" s="2" t="s">
        <v>65</v>
      </c>
      <c r="C53" s="2">
        <v>1</v>
      </c>
      <c r="D53" s="2"/>
      <c r="I53" s="2" t="s">
        <v>514</v>
      </c>
      <c r="J53" s="2" t="s">
        <v>539</v>
      </c>
      <c r="K53" s="21" t="s">
        <v>558</v>
      </c>
      <c r="L53" s="25"/>
      <c r="M53" s="97" t="s">
        <v>1059</v>
      </c>
    </row>
    <row r="54" spans="1:13">
      <c r="A54" s="2" t="s">
        <v>536</v>
      </c>
      <c r="B54" s="2" t="s">
        <v>65</v>
      </c>
      <c r="C54" s="2">
        <v>2</v>
      </c>
      <c r="D54" s="2"/>
      <c r="I54" s="2" t="s">
        <v>516</v>
      </c>
      <c r="J54" s="2" t="s">
        <v>542</v>
      </c>
      <c r="K54" s="21" t="s">
        <v>558</v>
      </c>
      <c r="L54" s="25"/>
      <c r="M54" s="97" t="s">
        <v>1059</v>
      </c>
    </row>
    <row r="55" spans="1:13">
      <c r="A55" s="2" t="s">
        <v>536</v>
      </c>
      <c r="B55" s="2" t="s">
        <v>65</v>
      </c>
      <c r="C55" s="2">
        <v>3</v>
      </c>
      <c r="D55" s="2"/>
      <c r="I55" s="2" t="s">
        <v>518</v>
      </c>
      <c r="J55" s="2" t="s">
        <v>543</v>
      </c>
      <c r="K55" s="21" t="s">
        <v>558</v>
      </c>
      <c r="L55" s="25"/>
      <c r="M55" s="97" t="s">
        <v>1059</v>
      </c>
    </row>
    <row r="56" spans="1:13">
      <c r="A56" s="2" t="s">
        <v>536</v>
      </c>
      <c r="B56" s="2" t="s">
        <v>65</v>
      </c>
      <c r="C56" s="2">
        <v>4</v>
      </c>
      <c r="D56" s="2"/>
      <c r="I56" s="2" t="s">
        <v>535</v>
      </c>
      <c r="J56" s="2" t="s">
        <v>544</v>
      </c>
      <c r="K56" s="21" t="s">
        <v>558</v>
      </c>
      <c r="L56" s="25"/>
      <c r="M56" s="97"/>
    </row>
    <row r="57" spans="1:13">
      <c r="A57" s="5" t="s">
        <v>559</v>
      </c>
      <c r="B57" s="5" t="s">
        <v>381</v>
      </c>
      <c r="C57" s="5">
        <v>0</v>
      </c>
      <c r="D57" s="5">
        <v>0</v>
      </c>
      <c r="E57" s="6"/>
      <c r="F57" s="6"/>
      <c r="G57" s="6"/>
      <c r="H57" s="6"/>
      <c r="I57" s="5" t="s">
        <v>511</v>
      </c>
      <c r="J57" s="5" t="s">
        <v>560</v>
      </c>
      <c r="K57" t="s">
        <v>547</v>
      </c>
      <c r="L57" s="102" t="s">
        <v>548</v>
      </c>
      <c r="M57" s="97" t="s">
        <v>1059</v>
      </c>
    </row>
    <row r="58" spans="1:13" ht="68.099999999999994">
      <c r="A58" s="5" t="s">
        <v>559</v>
      </c>
      <c r="B58" s="5" t="s">
        <v>381</v>
      </c>
      <c r="C58" s="5">
        <v>1</v>
      </c>
      <c r="D58" s="5">
        <f>0.38*0.68+0*0.32</f>
        <v>0.25840000000000002</v>
      </c>
      <c r="E58" s="6"/>
      <c r="F58" s="6"/>
      <c r="G58" s="6"/>
      <c r="H58" s="6"/>
      <c r="I58" s="5" t="s">
        <v>514</v>
      </c>
      <c r="J58" s="5" t="s">
        <v>561</v>
      </c>
      <c r="K58" s="29" t="s">
        <v>540</v>
      </c>
      <c r="L58" s="101" t="s">
        <v>554</v>
      </c>
      <c r="M58" s="97" t="s">
        <v>1059</v>
      </c>
    </row>
    <row r="59" spans="1:13" ht="33.950000000000003">
      <c r="A59" s="5" t="s">
        <v>559</v>
      </c>
      <c r="B59" s="5" t="s">
        <v>381</v>
      </c>
      <c r="C59" s="5">
        <v>2</v>
      </c>
      <c r="D59" s="5">
        <v>0.48</v>
      </c>
      <c r="E59" s="6"/>
      <c r="F59" s="6"/>
      <c r="G59" s="6"/>
      <c r="H59" s="6"/>
      <c r="I59" s="5" t="s">
        <v>516</v>
      </c>
      <c r="J59" s="5" t="s">
        <v>562</v>
      </c>
      <c r="K59" s="33" t="s">
        <v>528</v>
      </c>
      <c r="L59" s="25" t="s">
        <v>76</v>
      </c>
      <c r="M59" s="97" t="s">
        <v>1059</v>
      </c>
    </row>
    <row r="60" spans="1:13">
      <c r="A60" s="5" t="s">
        <v>559</v>
      </c>
      <c r="B60" s="5" t="s">
        <v>381</v>
      </c>
      <c r="C60" s="5">
        <v>3</v>
      </c>
      <c r="D60" s="5">
        <v>0.48</v>
      </c>
      <c r="E60" s="6"/>
      <c r="F60" s="6"/>
      <c r="G60" s="6"/>
      <c r="H60" s="6"/>
      <c r="I60" s="5" t="s">
        <v>518</v>
      </c>
      <c r="J60" s="5" t="s">
        <v>563</v>
      </c>
      <c r="L60" s="25" t="s">
        <v>76</v>
      </c>
      <c r="M60" s="97" t="s">
        <v>1059</v>
      </c>
    </row>
    <row r="61" spans="1:13" ht="68.099999999999994">
      <c r="A61" s="90" t="s">
        <v>559</v>
      </c>
      <c r="B61" s="91" t="s">
        <v>381</v>
      </c>
      <c r="C61" s="91">
        <v>4</v>
      </c>
      <c r="D61" s="95">
        <v>0.38</v>
      </c>
      <c r="E61" s="92"/>
      <c r="F61" s="92"/>
      <c r="G61" s="92"/>
      <c r="H61" s="92"/>
      <c r="I61" s="91" t="s">
        <v>535</v>
      </c>
      <c r="J61" s="91" t="s">
        <v>564</v>
      </c>
      <c r="K61" s="93" t="s">
        <v>545</v>
      </c>
      <c r="L61" s="100" t="s">
        <v>546</v>
      </c>
      <c r="M61" s="97" t="s">
        <v>1059</v>
      </c>
    </row>
    <row r="62" spans="1:13">
      <c r="A62" s="2" t="s">
        <v>559</v>
      </c>
      <c r="B62" s="2" t="s">
        <v>61</v>
      </c>
      <c r="C62" s="2">
        <v>0</v>
      </c>
      <c r="D62" s="2">
        <v>0</v>
      </c>
      <c r="I62" s="2" t="s">
        <v>511</v>
      </c>
      <c r="J62" s="2" t="s">
        <v>560</v>
      </c>
      <c r="K62" t="s">
        <v>547</v>
      </c>
      <c r="L62" s="102" t="s">
        <v>548</v>
      </c>
      <c r="M62" s="97" t="s">
        <v>1059</v>
      </c>
    </row>
    <row r="63" spans="1:13" ht="68.099999999999994">
      <c r="A63" s="2" t="s">
        <v>559</v>
      </c>
      <c r="B63" s="2" t="s">
        <v>61</v>
      </c>
      <c r="C63" s="2">
        <v>1</v>
      </c>
      <c r="D63" s="2">
        <f>0.1*0.83+0*0.17</f>
        <v>8.3000000000000004E-2</v>
      </c>
      <c r="I63" s="2" t="s">
        <v>514</v>
      </c>
      <c r="J63" s="2" t="s">
        <v>561</v>
      </c>
      <c r="K63" s="29" t="s">
        <v>540</v>
      </c>
      <c r="L63" s="101" t="s">
        <v>565</v>
      </c>
      <c r="M63" s="97" t="s">
        <v>1059</v>
      </c>
    </row>
    <row r="64" spans="1:13" ht="51">
      <c r="A64" s="2" t="s">
        <v>559</v>
      </c>
      <c r="B64" s="2" t="s">
        <v>61</v>
      </c>
      <c r="C64" s="2">
        <v>2</v>
      </c>
      <c r="D64" s="2">
        <v>0.28999999999999998</v>
      </c>
      <c r="I64" s="2" t="s">
        <v>516</v>
      </c>
      <c r="J64" s="2" t="s">
        <v>562</v>
      </c>
      <c r="K64" s="29" t="s">
        <v>566</v>
      </c>
      <c r="L64" s="101" t="s">
        <v>567</v>
      </c>
      <c r="M64" s="97" t="s">
        <v>1059</v>
      </c>
    </row>
    <row r="65" spans="1:13" ht="33.950000000000003">
      <c r="A65" s="2" t="s">
        <v>559</v>
      </c>
      <c r="B65" s="2" t="s">
        <v>61</v>
      </c>
      <c r="C65" s="2">
        <v>3</v>
      </c>
      <c r="D65" s="2">
        <v>0.28999999999999998</v>
      </c>
      <c r="I65" s="2" t="s">
        <v>518</v>
      </c>
      <c r="J65" s="2" t="s">
        <v>563</v>
      </c>
      <c r="K65" s="29" t="s">
        <v>568</v>
      </c>
      <c r="L65" s="101" t="s">
        <v>567</v>
      </c>
      <c r="M65" s="97" t="s">
        <v>1059</v>
      </c>
    </row>
    <row r="66" spans="1:13" ht="68.099999999999994">
      <c r="A66" s="91" t="s">
        <v>559</v>
      </c>
      <c r="B66" s="91" t="s">
        <v>61</v>
      </c>
      <c r="C66" s="91">
        <v>4</v>
      </c>
      <c r="D66" s="91">
        <v>0.1</v>
      </c>
      <c r="E66" s="63"/>
      <c r="F66" s="63"/>
      <c r="G66" s="63"/>
      <c r="H66" s="63"/>
      <c r="I66" s="91" t="s">
        <v>535</v>
      </c>
      <c r="J66" s="91" t="s">
        <v>564</v>
      </c>
      <c r="K66" s="93" t="s">
        <v>569</v>
      </c>
      <c r="L66" s="105" t="s">
        <v>551</v>
      </c>
      <c r="M66" s="97"/>
    </row>
    <row r="67" spans="1:13">
      <c r="A67" s="2" t="s">
        <v>559</v>
      </c>
      <c r="B67" s="2" t="s">
        <v>64</v>
      </c>
      <c r="C67" s="2">
        <v>0</v>
      </c>
      <c r="D67" s="2">
        <v>0</v>
      </c>
      <c r="I67" s="2" t="s">
        <v>511</v>
      </c>
      <c r="J67" s="2" t="s">
        <v>560</v>
      </c>
      <c r="K67" t="s">
        <v>547</v>
      </c>
      <c r="L67" s="102" t="s">
        <v>548</v>
      </c>
      <c r="M67" s="97" t="s">
        <v>1059</v>
      </c>
    </row>
    <row r="68" spans="1:13" ht="68.099999999999994">
      <c r="A68" s="2" t="s">
        <v>559</v>
      </c>
      <c r="B68" s="2" t="s">
        <v>64</v>
      </c>
      <c r="C68" s="2">
        <v>1</v>
      </c>
      <c r="D68" s="2">
        <f>0.38*0.61+0*0.39</f>
        <v>0.23180000000000001</v>
      </c>
      <c r="I68" s="2" t="s">
        <v>514</v>
      </c>
      <c r="J68" s="2" t="s">
        <v>561</v>
      </c>
      <c r="K68" s="29" t="s">
        <v>540</v>
      </c>
      <c r="L68" s="101" t="s">
        <v>554</v>
      </c>
      <c r="M68" s="97" t="s">
        <v>1059</v>
      </c>
    </row>
    <row r="69" spans="1:13" ht="51">
      <c r="A69" s="2" t="s">
        <v>559</v>
      </c>
      <c r="B69" s="2" t="s">
        <v>64</v>
      </c>
      <c r="C69" s="2">
        <v>2</v>
      </c>
      <c r="D69" s="2">
        <v>0.56000000000000005</v>
      </c>
      <c r="I69" s="2" t="s">
        <v>516</v>
      </c>
      <c r="J69" s="2" t="s">
        <v>562</v>
      </c>
      <c r="K69" s="29" t="s">
        <v>566</v>
      </c>
      <c r="L69" s="101" t="s">
        <v>555</v>
      </c>
      <c r="M69" s="97" t="s">
        <v>1059</v>
      </c>
    </row>
    <row r="70" spans="1:13" ht="33.950000000000003">
      <c r="A70" s="2" t="s">
        <v>559</v>
      </c>
      <c r="B70" s="2" t="s">
        <v>64</v>
      </c>
      <c r="C70" s="2">
        <v>3</v>
      </c>
      <c r="D70" s="2">
        <v>0.56000000000000005</v>
      </c>
      <c r="I70" s="2" t="s">
        <v>518</v>
      </c>
      <c r="J70" s="2" t="s">
        <v>563</v>
      </c>
      <c r="K70" s="29" t="s">
        <v>568</v>
      </c>
      <c r="L70" s="101" t="s">
        <v>555</v>
      </c>
      <c r="M70" s="97" t="s">
        <v>1059</v>
      </c>
    </row>
    <row r="71" spans="1:13" ht="68.099999999999994">
      <c r="A71" s="91" t="s">
        <v>559</v>
      </c>
      <c r="B71" s="91" t="s">
        <v>64</v>
      </c>
      <c r="C71" s="91">
        <v>4</v>
      </c>
      <c r="D71" s="91">
        <v>0.38</v>
      </c>
      <c r="E71" s="63"/>
      <c r="F71" s="63"/>
      <c r="G71" s="63"/>
      <c r="H71" s="63"/>
      <c r="I71" s="91" t="s">
        <v>535</v>
      </c>
      <c r="J71" s="91" t="s">
        <v>564</v>
      </c>
      <c r="K71" s="93" t="s">
        <v>569</v>
      </c>
      <c r="L71" s="105" t="s">
        <v>555</v>
      </c>
      <c r="M71" s="97"/>
    </row>
    <row r="72" spans="1:13">
      <c r="A72" s="2" t="s">
        <v>559</v>
      </c>
      <c r="B72" s="2" t="s">
        <v>65</v>
      </c>
      <c r="C72" s="2">
        <v>0</v>
      </c>
      <c r="D72" s="2">
        <v>0</v>
      </c>
      <c r="I72" s="2" t="s">
        <v>511</v>
      </c>
      <c r="J72" s="2" t="s">
        <v>560</v>
      </c>
      <c r="K72" t="s">
        <v>547</v>
      </c>
      <c r="L72" s="102" t="s">
        <v>548</v>
      </c>
      <c r="M72" s="97" t="s">
        <v>1059</v>
      </c>
    </row>
    <row r="73" spans="1:13">
      <c r="A73" s="2" t="s">
        <v>559</v>
      </c>
      <c r="B73" s="2" t="s">
        <v>65</v>
      </c>
      <c r="C73" s="2">
        <v>1</v>
      </c>
      <c r="D73" s="2"/>
      <c r="I73" s="2" t="s">
        <v>514</v>
      </c>
      <c r="J73" s="2" t="s">
        <v>561</v>
      </c>
      <c r="K73" s="61" t="s">
        <v>558</v>
      </c>
      <c r="L73" s="25"/>
      <c r="M73" s="97" t="s">
        <v>1059</v>
      </c>
    </row>
    <row r="74" spans="1:13">
      <c r="A74" s="2" t="s">
        <v>559</v>
      </c>
      <c r="B74" s="2" t="s">
        <v>65</v>
      </c>
      <c r="C74" s="2">
        <v>2</v>
      </c>
      <c r="D74" s="2"/>
      <c r="I74" s="2" t="s">
        <v>516</v>
      </c>
      <c r="J74" s="2" t="s">
        <v>562</v>
      </c>
      <c r="K74" s="61" t="s">
        <v>558</v>
      </c>
      <c r="L74" s="25"/>
      <c r="M74" s="97" t="s">
        <v>1059</v>
      </c>
    </row>
    <row r="75" spans="1:13">
      <c r="A75" s="2" t="s">
        <v>559</v>
      </c>
      <c r="B75" s="2" t="s">
        <v>65</v>
      </c>
      <c r="C75" s="2">
        <v>3</v>
      </c>
      <c r="D75" s="2"/>
      <c r="I75" s="2" t="s">
        <v>518</v>
      </c>
      <c r="J75" s="2" t="s">
        <v>563</v>
      </c>
      <c r="K75" s="61" t="s">
        <v>558</v>
      </c>
      <c r="L75" s="25"/>
      <c r="M75" s="97" t="s">
        <v>1059</v>
      </c>
    </row>
    <row r="76" spans="1:13">
      <c r="A76" s="2" t="s">
        <v>559</v>
      </c>
      <c r="B76" s="2" t="s">
        <v>65</v>
      </c>
      <c r="C76" s="2">
        <v>4</v>
      </c>
      <c r="D76" s="2"/>
      <c r="I76" s="2" t="s">
        <v>535</v>
      </c>
      <c r="J76" s="2" t="s">
        <v>564</v>
      </c>
      <c r="K76" s="61" t="s">
        <v>558</v>
      </c>
      <c r="L76" s="25"/>
      <c r="M76" s="97"/>
    </row>
    <row r="77" spans="1:13" ht="119.1">
      <c r="A77" s="106" t="s">
        <v>570</v>
      </c>
      <c r="B77" s="2" t="s">
        <v>381</v>
      </c>
      <c r="C77" s="2">
        <v>0</v>
      </c>
      <c r="D77" s="2">
        <v>0</v>
      </c>
      <c r="I77" s="108" t="s">
        <v>511</v>
      </c>
      <c r="J77" s="2" t="s">
        <v>571</v>
      </c>
      <c r="K77" s="107" t="s">
        <v>572</v>
      </c>
      <c r="L77" s="102" t="s">
        <v>548</v>
      </c>
      <c r="M77" s="97"/>
    </row>
    <row r="78" spans="1:13" ht="68.099999999999994">
      <c r="A78" s="106" t="s">
        <v>570</v>
      </c>
      <c r="B78" s="2" t="s">
        <v>381</v>
      </c>
      <c r="C78" s="2">
        <v>1</v>
      </c>
      <c r="D78" s="2">
        <f>0.33*0.68+0*0.32</f>
        <v>0.22440000000000002</v>
      </c>
      <c r="I78" s="108" t="s">
        <v>514</v>
      </c>
      <c r="J78" s="2" t="s">
        <v>573</v>
      </c>
      <c r="K78" s="29" t="s">
        <v>540</v>
      </c>
      <c r="L78" s="101" t="s">
        <v>541</v>
      </c>
      <c r="M78" s="97"/>
    </row>
    <row r="79" spans="1:13" ht="33.950000000000003">
      <c r="A79" s="5" t="s">
        <v>574</v>
      </c>
      <c r="B79" s="2" t="s">
        <v>381</v>
      </c>
      <c r="C79" s="5">
        <v>3</v>
      </c>
      <c r="D79" s="5">
        <v>0.78</v>
      </c>
      <c r="E79" s="6">
        <v>0.70599999999999996</v>
      </c>
      <c r="F79" s="5">
        <v>0.85399999999999998</v>
      </c>
      <c r="G79" s="5">
        <v>120</v>
      </c>
      <c r="H79" s="6" t="s">
        <v>106</v>
      </c>
      <c r="I79" s="5" t="s">
        <v>576</v>
      </c>
      <c r="J79" s="5" t="s">
        <v>575</v>
      </c>
      <c r="K79" s="33" t="s">
        <v>528</v>
      </c>
      <c r="L79" s="25" t="s">
        <v>75</v>
      </c>
      <c r="M79" s="97" t="s">
        <v>1059</v>
      </c>
    </row>
    <row r="80" spans="1:13" ht="68.099999999999994">
      <c r="A80" s="90" t="s">
        <v>570</v>
      </c>
      <c r="B80" s="91" t="s">
        <v>381</v>
      </c>
      <c r="C80" s="91">
        <v>4</v>
      </c>
      <c r="D80" s="95">
        <v>0.33</v>
      </c>
      <c r="E80" s="92"/>
      <c r="F80" s="92"/>
      <c r="G80" s="92"/>
      <c r="H80" s="92"/>
      <c r="I80" s="91" t="s">
        <v>535</v>
      </c>
      <c r="J80" s="91" t="s">
        <v>577</v>
      </c>
      <c r="K80" s="93" t="s">
        <v>578</v>
      </c>
      <c r="L80" s="94" t="s">
        <v>546</v>
      </c>
      <c r="M80" s="97" t="s">
        <v>1059</v>
      </c>
    </row>
    <row r="81" spans="1:15" ht="119.1">
      <c r="A81" s="106" t="s">
        <v>570</v>
      </c>
      <c r="B81" s="2" t="s">
        <v>61</v>
      </c>
      <c r="C81" s="2">
        <v>0</v>
      </c>
      <c r="D81" s="2">
        <v>0</v>
      </c>
      <c r="I81" s="108" t="s">
        <v>511</v>
      </c>
      <c r="J81" s="2" t="s">
        <v>571</v>
      </c>
      <c r="K81" s="107" t="s">
        <v>572</v>
      </c>
      <c r="L81" s="102" t="s">
        <v>548</v>
      </c>
      <c r="M81" s="97"/>
    </row>
    <row r="82" spans="1:15" ht="68.099999999999994">
      <c r="A82" s="106" t="s">
        <v>570</v>
      </c>
      <c r="B82" s="2" t="s">
        <v>61</v>
      </c>
      <c r="C82" s="2">
        <v>1</v>
      </c>
      <c r="D82" s="2">
        <f>0.33*0.83+0*0.17</f>
        <v>0.27389999999999998</v>
      </c>
      <c r="I82" s="108" t="s">
        <v>514</v>
      </c>
      <c r="J82" s="2" t="s">
        <v>573</v>
      </c>
      <c r="K82" s="29" t="s">
        <v>540</v>
      </c>
      <c r="L82" s="103" t="s">
        <v>549</v>
      </c>
      <c r="M82" s="97"/>
    </row>
    <row r="83" spans="1:15" ht="33.950000000000003">
      <c r="A83" s="2" t="s">
        <v>574</v>
      </c>
      <c r="B83" s="2" t="s">
        <v>61</v>
      </c>
      <c r="C83" s="2">
        <v>3</v>
      </c>
      <c r="D83" s="2">
        <v>0.38</v>
      </c>
      <c r="I83" s="2" t="s">
        <v>576</v>
      </c>
      <c r="J83" s="2" t="s">
        <v>575</v>
      </c>
      <c r="K83" s="29" t="s">
        <v>579</v>
      </c>
      <c r="L83" s="101" t="s">
        <v>551</v>
      </c>
      <c r="M83" s="97" t="s">
        <v>1059</v>
      </c>
    </row>
    <row r="84" spans="1:15" ht="68.099999999999994">
      <c r="A84" s="90" t="s">
        <v>570</v>
      </c>
      <c r="B84" s="91" t="s">
        <v>61</v>
      </c>
      <c r="C84" s="91">
        <v>4</v>
      </c>
      <c r="D84" s="95">
        <v>0.33</v>
      </c>
      <c r="E84" s="92"/>
      <c r="F84" s="92"/>
      <c r="G84" s="92"/>
      <c r="H84" s="92"/>
      <c r="I84" s="91" t="s">
        <v>535</v>
      </c>
      <c r="J84" s="91" t="s">
        <v>577</v>
      </c>
      <c r="K84" s="93" t="s">
        <v>569</v>
      </c>
      <c r="L84" s="105" t="s">
        <v>551</v>
      </c>
      <c r="M84" s="97" t="s">
        <v>1059</v>
      </c>
    </row>
    <row r="85" spans="1:15" ht="119.1">
      <c r="A85" s="106" t="s">
        <v>570</v>
      </c>
      <c r="B85" s="2" t="s">
        <v>64</v>
      </c>
      <c r="C85" s="2">
        <v>0</v>
      </c>
      <c r="D85" s="2">
        <v>0</v>
      </c>
      <c r="I85" s="108" t="s">
        <v>511</v>
      </c>
      <c r="J85" s="2" t="s">
        <v>571</v>
      </c>
      <c r="K85" s="107" t="s">
        <v>572</v>
      </c>
      <c r="L85" s="102" t="s">
        <v>548</v>
      </c>
      <c r="M85" s="97"/>
    </row>
    <row r="86" spans="1:15" ht="68.099999999999994">
      <c r="A86" s="106" t="s">
        <v>570</v>
      </c>
      <c r="B86" s="2" t="s">
        <v>64</v>
      </c>
      <c r="C86" s="2">
        <v>1</v>
      </c>
      <c r="D86" s="2">
        <f>0.33*0.61+0*0.39</f>
        <v>0.20130000000000001</v>
      </c>
      <c r="I86" s="108" t="s">
        <v>514</v>
      </c>
      <c r="J86" s="2" t="s">
        <v>573</v>
      </c>
      <c r="K86" s="29" t="s">
        <v>540</v>
      </c>
      <c r="L86" s="101" t="s">
        <v>541</v>
      </c>
      <c r="M86" s="97"/>
    </row>
    <row r="87" spans="1:15" ht="17.100000000000001">
      <c r="A87" s="2" t="s">
        <v>574</v>
      </c>
      <c r="B87" s="2" t="s">
        <v>64</v>
      </c>
      <c r="C87" s="2">
        <v>3</v>
      </c>
      <c r="D87" s="2">
        <v>0.33</v>
      </c>
      <c r="I87" s="2" t="s">
        <v>576</v>
      </c>
      <c r="J87" s="2" t="s">
        <v>575</v>
      </c>
      <c r="K87" s="29" t="s">
        <v>579</v>
      </c>
      <c r="L87" s="25" t="s">
        <v>75</v>
      </c>
      <c r="M87" s="97" t="s">
        <v>1059</v>
      </c>
    </row>
    <row r="88" spans="1:15" ht="102">
      <c r="A88" s="90" t="s">
        <v>570</v>
      </c>
      <c r="B88" s="91" t="s">
        <v>64</v>
      </c>
      <c r="C88" s="91">
        <v>4</v>
      </c>
      <c r="D88" s="95">
        <v>0.33</v>
      </c>
      <c r="E88" s="92"/>
      <c r="F88" s="92"/>
      <c r="G88" s="92"/>
      <c r="H88" s="92"/>
      <c r="I88" s="91" t="s">
        <v>535</v>
      </c>
      <c r="J88" s="91" t="s">
        <v>577</v>
      </c>
      <c r="K88" s="93" t="s">
        <v>580</v>
      </c>
      <c r="L88" s="105" t="s">
        <v>546</v>
      </c>
      <c r="M88" s="97" t="s">
        <v>1059</v>
      </c>
    </row>
    <row r="89" spans="1:15" ht="119.1">
      <c r="A89" s="106" t="s">
        <v>570</v>
      </c>
      <c r="B89" s="2" t="s">
        <v>65</v>
      </c>
      <c r="C89" s="2">
        <v>0</v>
      </c>
      <c r="D89" s="2">
        <v>0</v>
      </c>
      <c r="I89" s="108" t="s">
        <v>511</v>
      </c>
      <c r="J89" s="2" t="s">
        <v>571</v>
      </c>
      <c r="K89" s="107" t="s">
        <v>572</v>
      </c>
      <c r="L89" s="102" t="s">
        <v>548</v>
      </c>
      <c r="M89" s="97"/>
    </row>
    <row r="90" spans="1:15">
      <c r="A90" s="106" t="s">
        <v>570</v>
      </c>
      <c r="B90" s="2" t="s">
        <v>65</v>
      </c>
      <c r="C90" s="2">
        <v>1</v>
      </c>
      <c r="D90" s="2" t="s">
        <v>534</v>
      </c>
      <c r="I90" s="108" t="s">
        <v>514</v>
      </c>
      <c r="J90" s="2" t="s">
        <v>573</v>
      </c>
      <c r="K90" s="61" t="s">
        <v>558</v>
      </c>
      <c r="L90" s="101"/>
      <c r="M90" s="97"/>
    </row>
    <row r="91" spans="1:15">
      <c r="A91" s="2" t="s">
        <v>574</v>
      </c>
      <c r="B91" s="2" t="s">
        <v>65</v>
      </c>
      <c r="C91" s="2">
        <v>3</v>
      </c>
      <c r="D91" s="2"/>
      <c r="I91" s="2" t="s">
        <v>576</v>
      </c>
      <c r="J91" s="2" t="s">
        <v>575</v>
      </c>
      <c r="K91" s="61" t="s">
        <v>558</v>
      </c>
      <c r="L91" s="25"/>
      <c r="M91" s="97" t="s">
        <v>1059</v>
      </c>
    </row>
    <row r="92" spans="1:15">
      <c r="A92" s="90" t="s">
        <v>570</v>
      </c>
      <c r="B92" s="91" t="s">
        <v>65</v>
      </c>
      <c r="C92" s="91">
        <v>4</v>
      </c>
      <c r="D92" s="95" t="s">
        <v>534</v>
      </c>
      <c r="E92" s="92"/>
      <c r="F92" s="92"/>
      <c r="G92" s="92"/>
      <c r="H92" s="92"/>
      <c r="I92" s="91" t="s">
        <v>535</v>
      </c>
      <c r="J92" s="91" t="s">
        <v>577</v>
      </c>
      <c r="K92" s="109" t="s">
        <v>558</v>
      </c>
      <c r="L92" s="94"/>
      <c r="M92" s="97" t="s">
        <v>1059</v>
      </c>
    </row>
    <row r="93" spans="1:15" ht="68.099999999999994">
      <c r="A93" s="5" t="s">
        <v>581</v>
      </c>
      <c r="B93" s="5" t="s">
        <v>381</v>
      </c>
      <c r="C93" s="5">
        <v>0</v>
      </c>
      <c r="D93" s="5">
        <v>0.35</v>
      </c>
      <c r="E93" s="6">
        <v>0.28499999999999998</v>
      </c>
      <c r="F93" s="5">
        <v>0.41499999999999998</v>
      </c>
      <c r="G93" s="5">
        <v>206</v>
      </c>
      <c r="H93" s="6" t="s">
        <v>106</v>
      </c>
      <c r="I93" s="5" t="s">
        <v>576</v>
      </c>
      <c r="J93" s="5" t="s">
        <v>582</v>
      </c>
      <c r="K93" s="35" t="s">
        <v>583</v>
      </c>
      <c r="L93" s="30" t="s">
        <v>73</v>
      </c>
      <c r="M93" s="96" t="s">
        <v>1071</v>
      </c>
      <c r="O93" s="98" t="s">
        <v>1073</v>
      </c>
    </row>
    <row r="94" spans="1:15" ht="51">
      <c r="A94" s="2" t="s">
        <v>581</v>
      </c>
      <c r="B94" s="2" t="s">
        <v>61</v>
      </c>
      <c r="C94" s="2">
        <v>0</v>
      </c>
      <c r="D94" s="2">
        <f>1/6</f>
        <v>0.16666666666666666</v>
      </c>
      <c r="I94" s="2" t="s">
        <v>576</v>
      </c>
      <c r="J94" s="2" t="s">
        <v>582</v>
      </c>
      <c r="K94" s="33" t="s">
        <v>584</v>
      </c>
      <c r="L94" s="30" t="s">
        <v>585</v>
      </c>
      <c r="M94" s="96" t="s">
        <v>1071</v>
      </c>
      <c r="N94" s="28" t="s">
        <v>1074</v>
      </c>
      <c r="O94" s="28" t="s">
        <v>1075</v>
      </c>
    </row>
    <row r="95" spans="1:15" ht="17.100000000000001">
      <c r="A95" s="2" t="s">
        <v>581</v>
      </c>
      <c r="B95" s="2" t="s">
        <v>64</v>
      </c>
      <c r="C95" s="2">
        <v>0</v>
      </c>
      <c r="D95" s="2">
        <v>0.68</v>
      </c>
      <c r="I95" s="2" t="s">
        <v>576</v>
      </c>
      <c r="J95" s="2" t="s">
        <v>582</v>
      </c>
      <c r="L95" s="30" t="s">
        <v>586</v>
      </c>
      <c r="M95" s="96" t="s">
        <v>1071</v>
      </c>
      <c r="N95" s="28" t="s">
        <v>1076</v>
      </c>
    </row>
    <row r="96" spans="1:15" ht="68.099999999999994">
      <c r="A96" s="2" t="s">
        <v>581</v>
      </c>
      <c r="B96" s="2" t="s">
        <v>65</v>
      </c>
      <c r="C96" s="2">
        <v>0</v>
      </c>
      <c r="D96" s="2">
        <v>0.35</v>
      </c>
      <c r="I96" s="2" t="s">
        <v>576</v>
      </c>
      <c r="J96" s="2" t="s">
        <v>582</v>
      </c>
      <c r="K96" s="62" t="s">
        <v>587</v>
      </c>
      <c r="L96" s="30" t="s">
        <v>73</v>
      </c>
      <c r="M96" s="96" t="s">
        <v>1071</v>
      </c>
    </row>
    <row r="97" spans="1:13" ht="68.099999999999994">
      <c r="A97" s="5" t="s">
        <v>588</v>
      </c>
      <c r="B97" s="5" t="s">
        <v>381</v>
      </c>
      <c r="C97" s="5">
        <v>0</v>
      </c>
      <c r="D97" s="5">
        <v>0.44</v>
      </c>
      <c r="I97" s="5" t="s">
        <v>591</v>
      </c>
      <c r="J97" s="5" t="s">
        <v>589</v>
      </c>
      <c r="K97" s="33" t="s">
        <v>590</v>
      </c>
      <c r="L97" s="25" t="s">
        <v>72</v>
      </c>
      <c r="M97" s="96" t="s">
        <v>1071</v>
      </c>
    </row>
    <row r="98" spans="1:13">
      <c r="A98" s="2" t="s">
        <v>588</v>
      </c>
      <c r="B98" s="2" t="s">
        <v>61</v>
      </c>
      <c r="C98" s="2">
        <v>0</v>
      </c>
      <c r="D98" s="5">
        <v>0.44</v>
      </c>
      <c r="I98" s="2" t="s">
        <v>591</v>
      </c>
      <c r="J98" s="2" t="s">
        <v>589</v>
      </c>
      <c r="K98" t="s">
        <v>592</v>
      </c>
      <c r="L98" s="25" t="s">
        <v>72</v>
      </c>
      <c r="M98" s="96" t="s">
        <v>1071</v>
      </c>
    </row>
    <row r="99" spans="1:13">
      <c r="A99" s="2" t="s">
        <v>588</v>
      </c>
      <c r="B99" s="2" t="s">
        <v>64</v>
      </c>
      <c r="C99" s="2">
        <v>0</v>
      </c>
      <c r="D99" s="5">
        <v>0.44</v>
      </c>
      <c r="I99" s="2" t="s">
        <v>591</v>
      </c>
      <c r="J99" s="2" t="s">
        <v>589</v>
      </c>
      <c r="K99" t="s">
        <v>592</v>
      </c>
      <c r="L99" s="25" t="s">
        <v>72</v>
      </c>
      <c r="M99" s="96" t="s">
        <v>1071</v>
      </c>
    </row>
    <row r="100" spans="1:13">
      <c r="A100" s="2" t="s">
        <v>588</v>
      </c>
      <c r="B100" s="2" t="s">
        <v>65</v>
      </c>
      <c r="C100" s="2">
        <v>0</v>
      </c>
      <c r="D100" s="5">
        <v>0.44</v>
      </c>
      <c r="I100" s="2" t="s">
        <v>591</v>
      </c>
      <c r="J100" s="2" t="s">
        <v>589</v>
      </c>
      <c r="K100" t="s">
        <v>592</v>
      </c>
      <c r="L100" s="25" t="s">
        <v>72</v>
      </c>
      <c r="M100" s="96" t="s">
        <v>1071</v>
      </c>
    </row>
    <row r="101" spans="1:13">
      <c r="A101" s="2"/>
      <c r="B101" s="2"/>
      <c r="C101" s="2"/>
      <c r="D101" s="2"/>
      <c r="I101" s="2"/>
      <c r="J101" s="2"/>
    </row>
    <row r="102" spans="1:13">
      <c r="A102" s="2"/>
      <c r="B102" s="2"/>
      <c r="C102" s="2"/>
      <c r="D102" s="2"/>
      <c r="I102" s="2"/>
      <c r="J102" s="2"/>
    </row>
    <row r="103" spans="1:13">
      <c r="A103" s="2"/>
      <c r="B103" s="2"/>
      <c r="C103" s="2"/>
      <c r="D103" s="2"/>
      <c r="I103" s="2"/>
      <c r="J103" s="2"/>
    </row>
    <row r="104" spans="1:13">
      <c r="A104" s="2"/>
      <c r="B104" s="2"/>
      <c r="C104" s="2"/>
      <c r="D104" s="2"/>
      <c r="I104" s="2"/>
      <c r="J104" s="2"/>
    </row>
    <row r="105" spans="1:13">
      <c r="A105" s="2"/>
      <c r="B105" s="2"/>
      <c r="C105" s="2"/>
      <c r="D105" s="2"/>
      <c r="I105" s="2"/>
      <c r="J105" s="2"/>
    </row>
    <row r="106" spans="1:13">
      <c r="A106" s="2"/>
      <c r="B106" s="2"/>
      <c r="C106" s="2"/>
      <c r="D106" s="2"/>
      <c r="I106" s="2"/>
      <c r="J106" s="2"/>
    </row>
    <row r="107" spans="1:13">
      <c r="A107" s="2"/>
      <c r="B107" s="2"/>
      <c r="C107" s="2"/>
      <c r="D107" s="2"/>
      <c r="I107" s="2"/>
      <c r="J107" s="2"/>
    </row>
    <row r="108" spans="1:13">
      <c r="A108" s="2"/>
      <c r="B108" s="2"/>
      <c r="C108" s="2"/>
      <c r="D108" s="2"/>
      <c r="I108" s="2"/>
      <c r="J108" s="2"/>
    </row>
    <row r="109" spans="1:13">
      <c r="A109" s="2"/>
      <c r="B109" s="2"/>
      <c r="C109" s="2"/>
      <c r="D109" s="2"/>
      <c r="I109" s="2"/>
      <c r="J109" s="2"/>
    </row>
    <row r="110" spans="1:13">
      <c r="A110" s="2"/>
      <c r="B110" s="2"/>
      <c r="C110" s="2"/>
      <c r="D110" s="2"/>
      <c r="I110" s="2"/>
      <c r="J110" s="2"/>
    </row>
    <row r="111" spans="1:13">
      <c r="A111" s="2"/>
      <c r="B111" s="2"/>
      <c r="C111" s="2"/>
      <c r="D111" s="2"/>
      <c r="I111" s="2"/>
      <c r="J111" s="2"/>
    </row>
    <row r="112" spans="1:13">
      <c r="A112" s="2"/>
      <c r="B112" s="2"/>
      <c r="C112" s="2"/>
      <c r="D112" s="2"/>
      <c r="I112" s="2"/>
      <c r="J112" s="2"/>
    </row>
    <row r="113" spans="1:10">
      <c r="A113" s="2"/>
      <c r="B113" s="2"/>
      <c r="C113" s="2"/>
      <c r="D113" s="2"/>
      <c r="I113" s="2"/>
      <c r="J113" s="2"/>
    </row>
    <row r="114" spans="1:10">
      <c r="A114" s="2"/>
      <c r="B114" s="2"/>
      <c r="C114" s="2"/>
      <c r="D114" s="2"/>
      <c r="I114" s="2"/>
      <c r="J114" s="2"/>
    </row>
    <row r="115" spans="1:10">
      <c r="A115" s="2"/>
      <c r="B115" s="2"/>
      <c r="C115" s="2"/>
      <c r="D115" s="2"/>
      <c r="I115" s="2"/>
      <c r="J115" s="2"/>
    </row>
    <row r="116" spans="1:10">
      <c r="A116" s="2"/>
      <c r="B116" s="2"/>
      <c r="C116" s="2"/>
      <c r="D116" s="2"/>
      <c r="I116" s="2"/>
      <c r="J116" s="2"/>
    </row>
  </sheetData>
  <conditionalFormatting sqref="A2:L100">
    <cfRule type="expression" dxfId="34" priority="1">
      <formula>$D2=""</formula>
    </cfRule>
    <cfRule type="expression" dxfId="33" priority="2">
      <formula>$C2=""</formula>
    </cfRule>
  </conditionalFormatting>
  <hyperlinks>
    <hyperlink ref="L40" r:id="rId1" display="https://www.nature.com/articles/s41598-020-72144-x" xr:uid="{D6D7000B-D0AF-0F45-A954-174EE36D0098}"/>
    <hyperlink ref="L39" r:id="rId2" display="https://www.nature.com/articles/s41598-020-72144-x" xr:uid="{EF3B3DC5-C8DD-2A47-8212-D5D171568148}"/>
    <hyperlink ref="L21" r:id="rId3" display="https://www.nature.com/articles/s41591-024-03069-5" xr:uid="{81A913C1-65E7-3643-86FB-7EF3F87E25E1}"/>
    <hyperlink ref="L20" r:id="rId4" display="https://www.nature.com/articles/s41591-024-03069-5" xr:uid="{999A0257-716B-514B-A25F-462DF6A47A68}"/>
    <hyperlink ref="L59" r:id="rId5" display="https://journals.plos.org/plosone/article?id=10.1371%2Fjournal.pone.0270048" xr:uid="{164FC6D3-2D3D-6D4B-AEB7-E8672B650BB3}"/>
    <hyperlink ref="L60" r:id="rId6" display="https://journals.plos.org/plosone/article?id=10.1371%2Fjournal.pone.0270048" xr:uid="{2D98BDF7-28EE-9E45-87B3-21D77D4FDB44}"/>
    <hyperlink ref="L79" r:id="rId7" display="https://bmjopen.bmj.com/content/11/1/e042948" xr:uid="{193DA1DB-621F-664D-94FC-78F75ED2EB00}"/>
    <hyperlink ref="L93" r:id="rId8" display="https://www.ajol.info/index.php/jogeca/article/view/130771/132911" xr:uid="{1037FDE8-DDD0-DD4A-BD93-BD5E120A3C80}"/>
    <hyperlink ref="L97" r:id="rId9" location=":~:text=Discovering%20IV%20iron%27s%20untapped%20market,IV%20iron%20out%20of" display="https://www.re-solveglobalhealth.com/post/discovering-iv-iron-s-untapped-market-in-lmics-drip-by-drip - :~:text=Discovering%20IV%20iron%27s%20untapped%20market,IV%20iron%20out%20of" xr:uid="{AE4C3B2A-D3AC-214F-AD57-81E3082054B6}"/>
    <hyperlink ref="L19" r:id="rId10" display="https://www.nature.com/articles/s41591-024-03069-5" xr:uid="{AA46DBD3-A5DA-0F41-A48E-E96459DAF28C}"/>
    <hyperlink ref="L18" r:id="rId11" display="https://www.nature.com/articles/s41591-024-03069-5" xr:uid="{BBC28B6F-F274-AA4C-8497-84A859583BA3}"/>
    <hyperlink ref="L37" r:id="rId12" display="https://www.nature.com/articles/s41598-020-72144-x" xr:uid="{09B68EEB-A21A-5248-B068-AA6F6B562058}"/>
    <hyperlink ref="L98:L100" r:id="rId13" location=":~:text=Discovering%20IV%20iron%27s%20untapped%20market,IV%20iron%20out%20of" display="https://www.re-solveglobalhealth.com/post/discovering-iv-iron-s-untapped-market-in-lmics-drip-by-drip - :~:text=Discovering%20IV%20iron%27s%20untapped%20market,IV%20iron%20out%20of" xr:uid="{F67E7529-0497-3C48-83D2-880704D89074}"/>
    <hyperlink ref="L94:L96" r:id="rId14" display="https://www.ajol.info/index.php/jogeca/article/view/130771/132911" xr:uid="{79FD1F3F-4D90-3446-8EBE-343796C4F092}"/>
    <hyperlink ref="L87" r:id="rId15" display="https://bmjopen.bmj.com/content/11/1/e042948" xr:uid="{D83F29C6-671B-FF44-9FC5-2B96341892D9}"/>
    <hyperlink ref="L7" r:id="rId16" xr:uid="{A32EA012-961A-40BD-BF67-3E64293F6ED9}"/>
    <hyperlink ref="L8" r:id="rId17" xr:uid="{62FC2E73-6283-4FB0-A287-1659274F7E84}"/>
    <hyperlink ref="L9" r:id="rId18" xr:uid="{237BC1FB-98B4-44F0-9A36-0E46B1366AE1}"/>
    <hyperlink ref="L11" r:id="rId19" xr:uid="{E8FE24D0-1243-4F4C-B48E-C8EC79EADCA6}"/>
    <hyperlink ref="L12" r:id="rId20" xr:uid="{02AA7872-EA4C-47EC-953B-D113744D9524}"/>
    <hyperlink ref="L13" r:id="rId21" xr:uid="{2D439D3F-D723-4EEA-AA07-D358B25CC920}"/>
    <hyperlink ref="L15" r:id="rId22" xr:uid="{3A07A020-272B-4EA6-B6C6-A08298AC3E2D}"/>
    <hyperlink ref="L16" r:id="rId23" xr:uid="{89675BF2-ED45-4C7B-9553-6F03B44F6A8F}"/>
    <hyperlink ref="L17" r:id="rId24" xr:uid="{893DE38B-B27E-4D1E-B70B-AC7DE26EE986}"/>
    <hyperlink ref="L94" r:id="rId25" xr:uid="{922BA3DB-FB0F-EC4B-88D9-0E8CDDC894E4}"/>
  </hyperlinks>
  <pageMargins left="0.7" right="0.7" top="0.75" bottom="0.75" header="0.3" footer="0.3"/>
  <tableParts count="1">
    <tablePart r:id="rId26"/>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BDFF-5E48-4C4C-8312-D440F61989B6}">
  <sheetPr>
    <tabColor theme="5"/>
  </sheetPr>
  <dimension ref="A1:H49"/>
  <sheetViews>
    <sheetView showGridLines="0" zoomScale="90" zoomScaleNormal="90" workbookViewId="0">
      <pane ySplit="1" topLeftCell="A29" activePane="bottomLeft" state="frozen"/>
      <selection pane="bottomLeft" activeCell="K23" sqref="K23"/>
    </sheetView>
  </sheetViews>
  <sheetFormatPr defaultColWidth="11" defaultRowHeight="15.95"/>
  <cols>
    <col min="1" max="1" width="36.375" bestFit="1" customWidth="1"/>
    <col min="4" max="4" width="49.625" bestFit="1" customWidth="1"/>
    <col min="5" max="5" width="52.125" bestFit="1" customWidth="1"/>
    <col min="6" max="6" width="45.125" style="29" customWidth="1"/>
  </cols>
  <sheetData>
    <row r="1" spans="1:7">
      <c r="A1" s="1" t="s">
        <v>1021</v>
      </c>
      <c r="B1" s="1" t="s">
        <v>101</v>
      </c>
      <c r="C1" s="1" t="s">
        <v>90</v>
      </c>
      <c r="D1" s="1" t="s">
        <v>96</v>
      </c>
      <c r="E1" s="1" t="s">
        <v>97</v>
      </c>
      <c r="F1" s="37" t="s">
        <v>98</v>
      </c>
    </row>
    <row r="2" spans="1:7" ht="29.1">
      <c r="A2" s="5" t="s">
        <v>801</v>
      </c>
      <c r="B2" s="5" t="s">
        <v>381</v>
      </c>
      <c r="C2" s="5">
        <v>0.35</v>
      </c>
      <c r="D2" s="5" t="s">
        <v>802</v>
      </c>
      <c r="E2" s="26" t="s">
        <v>803</v>
      </c>
      <c r="F2" s="32" t="s">
        <v>804</v>
      </c>
    </row>
    <row r="3" spans="1:7">
      <c r="A3" s="2" t="s">
        <v>801</v>
      </c>
      <c r="B3" s="2" t="s">
        <v>61</v>
      </c>
      <c r="C3" s="2">
        <f>C15</f>
        <v>1.7500000000000002E-2</v>
      </c>
      <c r="D3" s="2" t="s">
        <v>802</v>
      </c>
      <c r="E3" s="2" t="s">
        <v>805</v>
      </c>
      <c r="F3" s="30"/>
    </row>
    <row r="4" spans="1:7">
      <c r="A4" s="2" t="s">
        <v>801</v>
      </c>
      <c r="B4" s="2" t="s">
        <v>64</v>
      </c>
      <c r="C4" s="2">
        <f t="shared" ref="C4:C5" si="0">C16</f>
        <v>2.1700000000000001E-2</v>
      </c>
      <c r="D4" s="2" t="s">
        <v>802</v>
      </c>
      <c r="E4" s="2" t="s">
        <v>805</v>
      </c>
      <c r="F4" s="30"/>
    </row>
    <row r="5" spans="1:7">
      <c r="A5" s="2" t="s">
        <v>801</v>
      </c>
      <c r="B5" s="2" t="s">
        <v>65</v>
      </c>
      <c r="C5" s="2">
        <f t="shared" si="0"/>
        <v>0.02</v>
      </c>
      <c r="D5" s="2" t="s">
        <v>802</v>
      </c>
      <c r="E5" s="2" t="s">
        <v>805</v>
      </c>
      <c r="F5" s="30"/>
    </row>
    <row r="6" spans="1:7" ht="42.95">
      <c r="A6" s="5" t="s">
        <v>806</v>
      </c>
      <c r="B6" s="5" t="s">
        <v>381</v>
      </c>
      <c r="C6" s="5">
        <v>0.39200000000000002</v>
      </c>
      <c r="D6" s="5" t="s">
        <v>807</v>
      </c>
      <c r="E6" s="39" t="s">
        <v>808</v>
      </c>
      <c r="F6" s="32" t="s">
        <v>809</v>
      </c>
    </row>
    <row r="7" spans="1:7">
      <c r="A7" s="2" t="s">
        <v>806</v>
      </c>
      <c r="B7" s="2" t="s">
        <v>61</v>
      </c>
      <c r="C7" s="2">
        <f>C19+0.122</f>
        <v>0.30499999999999999</v>
      </c>
      <c r="D7" s="2" t="s">
        <v>810</v>
      </c>
      <c r="E7" s="39" t="s">
        <v>811</v>
      </c>
      <c r="F7" s="39"/>
      <c r="G7" s="96" t="s">
        <v>1060</v>
      </c>
    </row>
    <row r="8" spans="1:7">
      <c r="A8" s="2" t="s">
        <v>806</v>
      </c>
      <c r="B8" s="2" t="s">
        <v>64</v>
      </c>
      <c r="C8" s="2">
        <f t="shared" ref="C8:C9" si="1">C20+0.122</f>
        <v>0.32200000000000001</v>
      </c>
      <c r="D8" s="2" t="s">
        <v>810</v>
      </c>
      <c r="E8" s="39" t="s">
        <v>811</v>
      </c>
      <c r="F8" s="39"/>
      <c r="G8" s="96" t="s">
        <v>1060</v>
      </c>
    </row>
    <row r="9" spans="1:7">
      <c r="A9" s="2" t="s">
        <v>806</v>
      </c>
      <c r="B9" s="2" t="s">
        <v>65</v>
      </c>
      <c r="C9" s="2">
        <f t="shared" si="1"/>
        <v>0.34199999999999997</v>
      </c>
      <c r="D9" s="2" t="s">
        <v>810</v>
      </c>
      <c r="E9" s="39" t="s">
        <v>811</v>
      </c>
      <c r="F9" s="39"/>
      <c r="G9" s="96" t="s">
        <v>1060</v>
      </c>
    </row>
    <row r="10" spans="1:7" ht="60.95">
      <c r="A10" s="5" t="s">
        <v>812</v>
      </c>
      <c r="B10" s="5" t="s">
        <v>381</v>
      </c>
      <c r="C10" s="5">
        <v>0.25800000000000001</v>
      </c>
      <c r="D10" s="5" t="s">
        <v>813</v>
      </c>
      <c r="E10" s="39" t="s">
        <v>814</v>
      </c>
      <c r="F10" s="32"/>
    </row>
    <row r="11" spans="1:7">
      <c r="A11" s="2" t="s">
        <v>812</v>
      </c>
      <c r="B11" s="2" t="s">
        <v>61</v>
      </c>
      <c r="C11" s="2">
        <f>C23-0.122</f>
        <v>0.67700000000000005</v>
      </c>
      <c r="D11" s="2" t="s">
        <v>815</v>
      </c>
      <c r="E11" s="39" t="s">
        <v>811</v>
      </c>
      <c r="F11" s="39"/>
      <c r="G11" s="96" t="s">
        <v>1060</v>
      </c>
    </row>
    <row r="12" spans="1:7">
      <c r="A12" s="2" t="s">
        <v>812</v>
      </c>
      <c r="B12" s="2" t="s">
        <v>64</v>
      </c>
      <c r="C12" s="2">
        <f t="shared" ref="C12:C13" si="2">C24-0.122</f>
        <v>0.65600000000000003</v>
      </c>
      <c r="D12" s="2" t="s">
        <v>815</v>
      </c>
      <c r="E12" s="39" t="s">
        <v>811</v>
      </c>
      <c r="F12" s="39"/>
      <c r="G12" s="96" t="s">
        <v>1060</v>
      </c>
    </row>
    <row r="13" spans="1:7">
      <c r="A13" s="2" t="s">
        <v>812</v>
      </c>
      <c r="B13" s="2" t="s">
        <v>65</v>
      </c>
      <c r="C13" s="2">
        <f t="shared" si="2"/>
        <v>0.63800000000000001</v>
      </c>
      <c r="D13" s="2" t="s">
        <v>815</v>
      </c>
      <c r="E13" s="39" t="s">
        <v>811</v>
      </c>
      <c r="F13" s="39"/>
      <c r="G13" s="96" t="s">
        <v>1060</v>
      </c>
    </row>
    <row r="14" spans="1:7" ht="42.95">
      <c r="A14" s="5" t="s">
        <v>816</v>
      </c>
      <c r="B14" s="5" t="s">
        <v>381</v>
      </c>
      <c r="C14" s="5" t="s">
        <v>817</v>
      </c>
      <c r="D14" s="5" t="s">
        <v>818</v>
      </c>
      <c r="E14" s="2" t="s">
        <v>819</v>
      </c>
      <c r="F14" s="32" t="s">
        <v>809</v>
      </c>
      <c r="G14" s="96" t="s">
        <v>1060</v>
      </c>
    </row>
    <row r="15" spans="1:7" ht="17.100000000000001">
      <c r="A15" s="60" t="s">
        <v>816</v>
      </c>
      <c r="B15" s="2" t="s">
        <v>61</v>
      </c>
      <c r="C15" s="2">
        <f>'[1]Delivery Rate'!$C$4</f>
        <v>1.7500000000000002E-2</v>
      </c>
      <c r="D15" s="2" t="s">
        <v>818</v>
      </c>
      <c r="E15" s="2" t="s">
        <v>820</v>
      </c>
      <c r="F15" s="30" t="s">
        <v>67</v>
      </c>
      <c r="G15" s="96" t="s">
        <v>1060</v>
      </c>
    </row>
    <row r="16" spans="1:7" ht="17.100000000000001">
      <c r="A16" s="60" t="s">
        <v>816</v>
      </c>
      <c r="B16" s="2" t="s">
        <v>64</v>
      </c>
      <c r="C16" s="2">
        <f>'[1]Delivery Rate'!$C$5</f>
        <v>2.1700000000000001E-2</v>
      </c>
      <c r="D16" s="2" t="s">
        <v>818</v>
      </c>
      <c r="E16" s="2" t="s">
        <v>820</v>
      </c>
      <c r="F16" s="30" t="s">
        <v>67</v>
      </c>
      <c r="G16" s="96" t="s">
        <v>1060</v>
      </c>
    </row>
    <row r="17" spans="1:7" ht="17.100000000000001">
      <c r="A17" s="60" t="s">
        <v>816</v>
      </c>
      <c r="B17" s="2" t="s">
        <v>65</v>
      </c>
      <c r="C17" s="2">
        <f>'[1]Delivery Rate'!$C$6</f>
        <v>0.02</v>
      </c>
      <c r="D17" s="2" t="s">
        <v>818</v>
      </c>
      <c r="E17" s="2" t="s">
        <v>820</v>
      </c>
      <c r="F17" s="30" t="s">
        <v>67</v>
      </c>
      <c r="G17" s="96" t="s">
        <v>1060</v>
      </c>
    </row>
    <row r="18" spans="1:7" ht="42.95">
      <c r="A18" s="5" t="s">
        <v>821</v>
      </c>
      <c r="B18" s="5" t="s">
        <v>381</v>
      </c>
      <c r="C18" s="5" t="s">
        <v>817</v>
      </c>
      <c r="D18" s="5" t="s">
        <v>822</v>
      </c>
      <c r="E18" s="2" t="s">
        <v>819</v>
      </c>
      <c r="F18" s="32" t="s">
        <v>809</v>
      </c>
      <c r="G18" s="96" t="s">
        <v>1060</v>
      </c>
    </row>
    <row r="19" spans="1:7">
      <c r="A19" s="60" t="s">
        <v>821</v>
      </c>
      <c r="B19" s="2" t="s">
        <v>61</v>
      </c>
      <c r="C19" s="2">
        <v>0.183</v>
      </c>
      <c r="D19" s="2" t="s">
        <v>823</v>
      </c>
      <c r="E19" s="2" t="s">
        <v>819</v>
      </c>
      <c r="F19" s="39"/>
      <c r="G19" s="96" t="s">
        <v>1060</v>
      </c>
    </row>
    <row r="20" spans="1:7">
      <c r="A20" s="60" t="s">
        <v>821</v>
      </c>
      <c r="B20" s="2" t="s">
        <v>64</v>
      </c>
      <c r="C20" s="2">
        <v>0.2</v>
      </c>
      <c r="D20" s="2" t="s">
        <v>823</v>
      </c>
      <c r="E20" s="2" t="s">
        <v>819</v>
      </c>
      <c r="F20" s="39"/>
      <c r="G20" s="96" t="s">
        <v>1060</v>
      </c>
    </row>
    <row r="21" spans="1:7">
      <c r="A21" s="60" t="s">
        <v>821</v>
      </c>
      <c r="B21" s="2" t="s">
        <v>65</v>
      </c>
      <c r="C21" s="2">
        <v>0.22</v>
      </c>
      <c r="D21" s="2" t="s">
        <v>823</v>
      </c>
      <c r="E21" s="2" t="s">
        <v>819</v>
      </c>
      <c r="F21" s="39"/>
      <c r="G21" s="96" t="s">
        <v>1060</v>
      </c>
    </row>
    <row r="22" spans="1:7" ht="42.95">
      <c r="A22" s="5" t="s">
        <v>824</v>
      </c>
      <c r="B22" s="5" t="s">
        <v>381</v>
      </c>
      <c r="C22" s="5" t="s">
        <v>817</v>
      </c>
      <c r="D22" s="5" t="s">
        <v>825</v>
      </c>
      <c r="E22" s="2" t="s">
        <v>819</v>
      </c>
      <c r="F22" s="32" t="s">
        <v>809</v>
      </c>
      <c r="G22" s="96" t="s">
        <v>1060</v>
      </c>
    </row>
    <row r="23" spans="1:7">
      <c r="A23" s="60" t="s">
        <v>824</v>
      </c>
      <c r="B23" s="2" t="s">
        <v>61</v>
      </c>
      <c r="C23" s="2">
        <v>0.79900000000000004</v>
      </c>
      <c r="D23" s="2" t="s">
        <v>826</v>
      </c>
      <c r="E23" s="2" t="s">
        <v>819</v>
      </c>
      <c r="F23" s="39"/>
      <c r="G23" s="96" t="s">
        <v>1060</v>
      </c>
    </row>
    <row r="24" spans="1:7">
      <c r="A24" s="60" t="s">
        <v>824</v>
      </c>
      <c r="B24" s="2" t="s">
        <v>64</v>
      </c>
      <c r="C24" s="2">
        <v>0.77800000000000002</v>
      </c>
      <c r="D24" s="2" t="s">
        <v>826</v>
      </c>
      <c r="E24" s="2" t="s">
        <v>819</v>
      </c>
      <c r="F24" s="39"/>
      <c r="G24" s="96" t="s">
        <v>1060</v>
      </c>
    </row>
    <row r="25" spans="1:7">
      <c r="A25" s="60" t="s">
        <v>824</v>
      </c>
      <c r="B25" s="2" t="s">
        <v>65</v>
      </c>
      <c r="C25" s="2">
        <v>0.76</v>
      </c>
      <c r="D25" s="2" t="s">
        <v>826</v>
      </c>
      <c r="E25" s="2" t="s">
        <v>819</v>
      </c>
      <c r="F25" s="39"/>
      <c r="G25" s="96" t="s">
        <v>1060</v>
      </c>
    </row>
    <row r="26" spans="1:7" ht="17.100000000000001">
      <c r="A26" s="5" t="s">
        <v>827</v>
      </c>
      <c r="B26" s="5" t="s">
        <v>381</v>
      </c>
      <c r="C26" s="5">
        <v>7.0000000000000007E-2</v>
      </c>
      <c r="D26" s="5" t="s">
        <v>828</v>
      </c>
      <c r="E26" s="2"/>
      <c r="F26" s="30" t="s">
        <v>829</v>
      </c>
    </row>
    <row r="27" spans="1:7">
      <c r="A27" s="2" t="s">
        <v>827</v>
      </c>
      <c r="B27" s="2" t="s">
        <v>61</v>
      </c>
      <c r="C27" s="2">
        <v>0.22900000000000001</v>
      </c>
      <c r="D27" s="2" t="s">
        <v>828</v>
      </c>
      <c r="E27" s="2" t="s">
        <v>830</v>
      </c>
      <c r="F27" s="39"/>
      <c r="G27" s="96" t="s">
        <v>1060</v>
      </c>
    </row>
    <row r="28" spans="1:7">
      <c r="A28" s="2" t="s">
        <v>827</v>
      </c>
      <c r="B28" s="2" t="s">
        <v>64</v>
      </c>
      <c r="C28" s="2">
        <v>0.69099999999999995</v>
      </c>
      <c r="D28" s="2" t="s">
        <v>828</v>
      </c>
      <c r="E28" s="2" t="s">
        <v>830</v>
      </c>
      <c r="F28" s="39"/>
      <c r="G28" s="96" t="s">
        <v>1060</v>
      </c>
    </row>
    <row r="29" spans="1:7">
      <c r="A29" s="2" t="s">
        <v>827</v>
      </c>
      <c r="B29" s="2" t="s">
        <v>65</v>
      </c>
      <c r="C29" s="2">
        <v>0.54400000000000004</v>
      </c>
      <c r="D29" s="2" t="s">
        <v>828</v>
      </c>
      <c r="E29" s="2" t="s">
        <v>830</v>
      </c>
      <c r="F29" s="39"/>
      <c r="G29" s="96" t="s">
        <v>1060</v>
      </c>
    </row>
    <row r="30" spans="1:7" ht="45.95">
      <c r="A30" s="5" t="s">
        <v>831</v>
      </c>
      <c r="B30" s="5" t="s">
        <v>381</v>
      </c>
      <c r="C30" s="5">
        <v>0.49</v>
      </c>
      <c r="D30" s="5" t="s">
        <v>832</v>
      </c>
      <c r="E30" s="39"/>
      <c r="F30" s="39" t="s">
        <v>833</v>
      </c>
    </row>
    <row r="31" spans="1:7">
      <c r="A31" s="2" t="s">
        <v>831</v>
      </c>
      <c r="B31" s="2" t="s">
        <v>61</v>
      </c>
      <c r="C31" s="2">
        <v>0.441</v>
      </c>
      <c r="D31" s="2" t="s">
        <v>832</v>
      </c>
      <c r="E31" s="2" t="s">
        <v>830</v>
      </c>
      <c r="F31" s="39" t="s">
        <v>834</v>
      </c>
      <c r="G31" s="96" t="s">
        <v>1060</v>
      </c>
    </row>
    <row r="32" spans="1:7">
      <c r="A32" s="2" t="s">
        <v>831</v>
      </c>
      <c r="B32" s="2" t="s">
        <v>64</v>
      </c>
      <c r="C32" s="2">
        <v>0.71599999999999997</v>
      </c>
      <c r="D32" s="2" t="s">
        <v>832</v>
      </c>
      <c r="E32" s="2" t="s">
        <v>830</v>
      </c>
      <c r="F32" s="39" t="s">
        <v>834</v>
      </c>
      <c r="G32" s="96" t="s">
        <v>1060</v>
      </c>
    </row>
    <row r="33" spans="1:8">
      <c r="A33" s="2" t="s">
        <v>831</v>
      </c>
      <c r="B33" s="2" t="s">
        <v>65</v>
      </c>
      <c r="C33" s="2">
        <v>0.79</v>
      </c>
      <c r="D33" s="2" t="s">
        <v>832</v>
      </c>
      <c r="E33" s="2" t="s">
        <v>830</v>
      </c>
      <c r="F33" s="39" t="s">
        <v>834</v>
      </c>
      <c r="G33" s="96" t="s">
        <v>1060</v>
      </c>
    </row>
    <row r="34" spans="1:8" ht="45.95">
      <c r="A34" s="5" t="s">
        <v>835</v>
      </c>
      <c r="B34" s="5" t="s">
        <v>381</v>
      </c>
      <c r="C34" s="5">
        <v>0.439</v>
      </c>
      <c r="D34" s="5" t="s">
        <v>836</v>
      </c>
      <c r="E34" s="39"/>
      <c r="F34" s="39" t="s">
        <v>833</v>
      </c>
    </row>
    <row r="35" spans="1:8">
      <c r="A35" s="2" t="s">
        <v>835</v>
      </c>
      <c r="B35" s="2" t="s">
        <v>61</v>
      </c>
      <c r="C35" s="2">
        <v>0.70599999999999996</v>
      </c>
      <c r="D35" s="2" t="s">
        <v>836</v>
      </c>
      <c r="E35" s="2" t="s">
        <v>830</v>
      </c>
      <c r="F35" s="39" t="s">
        <v>834</v>
      </c>
      <c r="G35" s="96" t="s">
        <v>1060</v>
      </c>
    </row>
    <row r="36" spans="1:8">
      <c r="A36" s="2" t="s">
        <v>835</v>
      </c>
      <c r="B36" s="2" t="s">
        <v>64</v>
      </c>
      <c r="C36" s="2">
        <v>0.80700000000000005</v>
      </c>
      <c r="D36" s="2" t="s">
        <v>836</v>
      </c>
      <c r="E36" s="2" t="s">
        <v>830</v>
      </c>
      <c r="F36" s="39" t="s">
        <v>834</v>
      </c>
      <c r="G36" s="96" t="s">
        <v>1060</v>
      </c>
    </row>
    <row r="37" spans="1:8">
      <c r="A37" s="2" t="s">
        <v>835</v>
      </c>
      <c r="B37" s="2" t="s">
        <v>65</v>
      </c>
      <c r="C37" s="2">
        <v>0.68100000000000005</v>
      </c>
      <c r="D37" s="2" t="s">
        <v>836</v>
      </c>
      <c r="E37" s="2" t="s">
        <v>830</v>
      </c>
      <c r="F37" s="39" t="s">
        <v>834</v>
      </c>
      <c r="G37" s="96" t="s">
        <v>1060</v>
      </c>
    </row>
    <row r="38" spans="1:8" ht="17.100000000000001">
      <c r="A38" s="5" t="s">
        <v>837</v>
      </c>
      <c r="B38" s="5" t="s">
        <v>381</v>
      </c>
      <c r="C38" s="5">
        <v>0.13400000000000001</v>
      </c>
      <c r="D38" s="5" t="s">
        <v>838</v>
      </c>
      <c r="E38" s="39"/>
      <c r="F38" s="30" t="s">
        <v>109</v>
      </c>
    </row>
    <row r="39" spans="1:8" ht="17.100000000000001">
      <c r="A39" s="2" t="s">
        <v>837</v>
      </c>
      <c r="B39" s="2" t="s">
        <v>61</v>
      </c>
      <c r="C39" s="5">
        <v>0.13400000000000001</v>
      </c>
      <c r="D39" s="2" t="s">
        <v>838</v>
      </c>
      <c r="E39" s="2"/>
      <c r="F39" s="30" t="s">
        <v>109</v>
      </c>
      <c r="G39" s="97" t="s">
        <v>1077</v>
      </c>
    </row>
    <row r="40" spans="1:8" ht="17.100000000000001">
      <c r="A40" s="2" t="s">
        <v>837</v>
      </c>
      <c r="B40" s="2" t="s">
        <v>64</v>
      </c>
      <c r="C40" s="5">
        <v>0.13400000000000001</v>
      </c>
      <c r="D40" s="2" t="s">
        <v>838</v>
      </c>
      <c r="E40" s="2"/>
      <c r="F40" s="30" t="s">
        <v>109</v>
      </c>
      <c r="G40" s="97" t="s">
        <v>1077</v>
      </c>
    </row>
    <row r="41" spans="1:8" ht="75.95">
      <c r="A41" s="2" t="s">
        <v>837</v>
      </c>
      <c r="B41" s="2" t="s">
        <v>65</v>
      </c>
      <c r="C41" s="5">
        <v>0.13400000000000001</v>
      </c>
      <c r="D41" s="2" t="s">
        <v>838</v>
      </c>
      <c r="E41" s="39" t="s">
        <v>839</v>
      </c>
      <c r="F41" s="30" t="s">
        <v>109</v>
      </c>
      <c r="G41" s="97" t="s">
        <v>1077</v>
      </c>
      <c r="H41" s="28" t="s">
        <v>1078</v>
      </c>
    </row>
    <row r="42" spans="1:8" ht="33.950000000000003">
      <c r="A42" s="5" t="s">
        <v>840</v>
      </c>
      <c r="B42" s="5" t="s">
        <v>381</v>
      </c>
      <c r="C42" s="5">
        <v>0.06</v>
      </c>
      <c r="D42" s="5" t="s">
        <v>841</v>
      </c>
      <c r="E42" s="39"/>
      <c r="F42" s="30" t="s">
        <v>842</v>
      </c>
    </row>
    <row r="43" spans="1:8" ht="75.95">
      <c r="A43" s="2" t="s">
        <v>840</v>
      </c>
      <c r="B43" s="2" t="s">
        <v>61</v>
      </c>
      <c r="C43" s="5">
        <v>0.06</v>
      </c>
      <c r="D43" s="2" t="s">
        <v>841</v>
      </c>
      <c r="E43" s="39" t="s">
        <v>843</v>
      </c>
      <c r="F43" s="30" t="s">
        <v>842</v>
      </c>
      <c r="G43" s="97" t="s">
        <v>1077</v>
      </c>
      <c r="H43" s="28" t="s">
        <v>1078</v>
      </c>
    </row>
    <row r="44" spans="1:8" ht="33.950000000000003">
      <c r="A44" s="2" t="s">
        <v>840</v>
      </c>
      <c r="B44" s="2" t="s">
        <v>64</v>
      </c>
      <c r="C44" s="5">
        <v>0.06</v>
      </c>
      <c r="D44" s="2" t="s">
        <v>841</v>
      </c>
      <c r="E44" s="2"/>
      <c r="F44" s="30" t="s">
        <v>842</v>
      </c>
      <c r="G44" s="97" t="s">
        <v>1077</v>
      </c>
    </row>
    <row r="45" spans="1:8" ht="33.950000000000003">
      <c r="A45" s="2" t="s">
        <v>840</v>
      </c>
      <c r="B45" s="2" t="s">
        <v>65</v>
      </c>
      <c r="C45" s="5">
        <v>0.06</v>
      </c>
      <c r="D45" s="2" t="s">
        <v>841</v>
      </c>
      <c r="E45" s="2"/>
      <c r="F45" s="30" t="s">
        <v>842</v>
      </c>
      <c r="G45" s="97" t="s">
        <v>1077</v>
      </c>
    </row>
    <row r="46" spans="1:8" ht="17.100000000000001">
      <c r="A46" s="5" t="s">
        <v>844</v>
      </c>
      <c r="B46" s="5" t="s">
        <v>381</v>
      </c>
      <c r="C46" s="5">
        <v>0.26500000000000001</v>
      </c>
      <c r="D46" s="5" t="s">
        <v>845</v>
      </c>
      <c r="E46" s="39"/>
      <c r="F46" s="30" t="s">
        <v>846</v>
      </c>
    </row>
    <row r="47" spans="1:8" ht="17.100000000000001">
      <c r="A47" s="2" t="s">
        <v>844</v>
      </c>
      <c r="B47" s="2" t="s">
        <v>61</v>
      </c>
      <c r="C47" s="5">
        <v>0.26500000000000001</v>
      </c>
      <c r="D47" s="2" t="s">
        <v>845</v>
      </c>
      <c r="E47" s="2"/>
      <c r="F47" s="30" t="s">
        <v>846</v>
      </c>
      <c r="G47" s="97" t="s">
        <v>1077</v>
      </c>
    </row>
    <row r="48" spans="1:8" ht="17.100000000000001">
      <c r="A48" s="2" t="s">
        <v>844</v>
      </c>
      <c r="B48" s="2" t="s">
        <v>64</v>
      </c>
      <c r="C48" s="5">
        <v>0.26500000000000001</v>
      </c>
      <c r="D48" s="2" t="s">
        <v>845</v>
      </c>
      <c r="E48" s="2"/>
      <c r="F48" s="30" t="s">
        <v>846</v>
      </c>
      <c r="G48" s="97" t="s">
        <v>1077</v>
      </c>
    </row>
    <row r="49" spans="1:7" ht="17.100000000000001">
      <c r="A49" s="2" t="s">
        <v>844</v>
      </c>
      <c r="B49" s="2" t="s">
        <v>65</v>
      </c>
      <c r="C49" s="5">
        <v>0.26500000000000001</v>
      </c>
      <c r="D49" s="2" t="s">
        <v>845</v>
      </c>
      <c r="E49" s="2"/>
      <c r="F49" s="30" t="s">
        <v>846</v>
      </c>
      <c r="G49" s="97" t="s">
        <v>1077</v>
      </c>
    </row>
  </sheetData>
  <conditionalFormatting sqref="A2:F49">
    <cfRule type="expression" dxfId="25" priority="1">
      <formula>$C2=""</formula>
    </cfRule>
  </conditionalFormatting>
  <hyperlinks>
    <hyperlink ref="F26" r:id="rId1" display="https://doi.org/10.1093/heapol/czae088" xr:uid="{CB5968B1-38EC-3A4C-9F85-CD7493A3CC6A}"/>
    <hyperlink ref="F42" r:id="rId2" display="https://bmjopen.bmj.com/content/bmjopen/13/10/e074995.full.pdf?with-ds=yes" xr:uid="{0860C862-2609-CF4C-B53C-607E690DCD73}"/>
    <hyperlink ref="F38" r:id="rId3" display="https://pubmed.ncbi.nlm.nih.gov/32479522/" xr:uid="{76BB95FB-63DB-0A4D-B721-5BA6DF36D8C5}"/>
    <hyperlink ref="F46" r:id="rId4" display="https://pmc.ncbi.nlm.nih.gov/articles/PMC8987792/?utm_source=chatgpt.com" xr:uid="{517B96BC-8DCB-DA43-8D81-05A4201C7FC8}"/>
    <hyperlink ref="F47" r:id="rId5" display="https://pmc.ncbi.nlm.nih.gov/articles/PMC8987792/?utm_source=chatgpt.com" xr:uid="{70B31521-8F46-B742-B90D-F204D3354FDC}"/>
    <hyperlink ref="F48" r:id="rId6" display="https://pmc.ncbi.nlm.nih.gov/articles/PMC8987792/?utm_source=chatgpt.com" xr:uid="{6721FD24-D1CA-3344-9806-4E5BE86876CD}"/>
    <hyperlink ref="F49" r:id="rId7" display="https://pmc.ncbi.nlm.nih.gov/articles/PMC8987792/?utm_source=chatgpt.com" xr:uid="{102DC5F6-A771-3944-9714-35D616E7D543}"/>
    <hyperlink ref="F43" r:id="rId8" display="https://bmjopen.bmj.com/content/bmjopen/13/10/e074995.full.pdf?with-ds=yes" xr:uid="{AC492B7C-7EFF-D340-B4E3-B7DAEF3FBD0D}"/>
    <hyperlink ref="F44" r:id="rId9" display="https://bmjopen.bmj.com/content/bmjopen/13/10/e074995.full.pdf?with-ds=yes" xr:uid="{42144585-A815-6045-AD12-8270FF3A8D34}"/>
    <hyperlink ref="F45" r:id="rId10" display="https://bmjopen.bmj.com/content/bmjopen/13/10/e074995.full.pdf?with-ds=yes" xr:uid="{1D8097CB-469B-134D-B48F-A6B50DED9088}"/>
    <hyperlink ref="F39" r:id="rId11" display="https://pubmed.ncbi.nlm.nih.gov/32479522/" xr:uid="{F33F8000-63AC-3541-9B8D-79CB6D2527BF}"/>
    <hyperlink ref="F40" r:id="rId12" display="https://pubmed.ncbi.nlm.nih.gov/32479522/" xr:uid="{797D3DB5-DA7A-1141-9F7A-9008F85FB397}"/>
    <hyperlink ref="F41" r:id="rId13" display="https://pubmed.ncbi.nlm.nih.gov/32479522/" xr:uid="{0E091477-428D-FE48-A920-5D0E1ABE24FB}"/>
    <hyperlink ref="F15" r:id="rId14" xr:uid="{EE7B3938-4FC4-654C-919C-1A63561AD271}"/>
    <hyperlink ref="F16:F17" r:id="rId15" display="MOMISH Data: PROMPTS_Data_20250724_v3" xr:uid="{4AAA58F6-9990-9D4D-B787-274368B239AD}"/>
  </hyperlinks>
  <pageMargins left="0.7" right="0.7" top="0.75" bottom="0.75" header="0.3" footer="0.3"/>
  <tableParts count="1">
    <tablePart r:id="rId16"/>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1A476-5F81-D640-83FD-BA8B7A9D9926}">
  <sheetPr>
    <tabColor theme="9"/>
  </sheetPr>
  <dimension ref="A1:I46"/>
  <sheetViews>
    <sheetView showGridLines="0" workbookViewId="0">
      <pane ySplit="1" topLeftCell="A21" activePane="bottomLeft" state="frozen"/>
      <selection pane="bottomLeft" activeCell="B39" sqref="B39"/>
    </sheetView>
  </sheetViews>
  <sheetFormatPr defaultColWidth="11" defaultRowHeight="15.95"/>
  <cols>
    <col min="1" max="1" width="30.875" bestFit="1" customWidth="1"/>
    <col min="2" max="2" width="30.875" customWidth="1"/>
    <col min="3" max="3" width="15.375" customWidth="1"/>
    <col min="5" max="5" width="42.125" bestFit="1" customWidth="1"/>
    <col min="6" max="6" width="22" bestFit="1" customWidth="1"/>
    <col min="7" max="7" width="38.875" style="29" customWidth="1"/>
  </cols>
  <sheetData>
    <row r="1" spans="1:9">
      <c r="A1" s="1" t="s">
        <v>89</v>
      </c>
      <c r="B1" s="1" t="s">
        <v>101</v>
      </c>
      <c r="C1" s="1" t="s">
        <v>1022</v>
      </c>
      <c r="D1" s="1" t="s">
        <v>1023</v>
      </c>
      <c r="E1" s="1" t="s">
        <v>96</v>
      </c>
      <c r="F1" s="1" t="s">
        <v>97</v>
      </c>
      <c r="G1" s="37" t="s">
        <v>98</v>
      </c>
      <c r="H1" s="1"/>
    </row>
    <row r="2" spans="1:9" ht="17.100000000000001">
      <c r="A2" s="5" t="s">
        <v>847</v>
      </c>
      <c r="B2" s="5" t="s">
        <v>381</v>
      </c>
      <c r="C2" s="5">
        <v>0.6</v>
      </c>
      <c r="D2" s="5" t="s">
        <v>848</v>
      </c>
      <c r="E2" s="5" t="s">
        <v>410</v>
      </c>
      <c r="F2" s="5"/>
      <c r="G2" s="30" t="s">
        <v>406</v>
      </c>
      <c r="H2" s="2"/>
    </row>
    <row r="3" spans="1:9">
      <c r="A3" s="5" t="s">
        <v>847</v>
      </c>
      <c r="B3" s="2" t="s">
        <v>61</v>
      </c>
      <c r="C3" s="5"/>
      <c r="D3" s="5" t="s">
        <v>848</v>
      </c>
      <c r="E3" s="5" t="s">
        <v>410</v>
      </c>
      <c r="F3" s="5"/>
      <c r="G3" s="48"/>
      <c r="H3" s="2"/>
    </row>
    <row r="4" spans="1:9">
      <c r="A4" s="5" t="s">
        <v>847</v>
      </c>
      <c r="B4" s="2" t="s">
        <v>64</v>
      </c>
      <c r="C4" s="5"/>
      <c r="D4" s="5" t="s">
        <v>848</v>
      </c>
      <c r="E4" s="5" t="s">
        <v>410</v>
      </c>
      <c r="F4" s="5"/>
      <c r="G4" s="48"/>
      <c r="H4" s="2"/>
    </row>
    <row r="5" spans="1:9">
      <c r="A5" s="5" t="s">
        <v>847</v>
      </c>
      <c r="B5" s="2" t="s">
        <v>65</v>
      </c>
      <c r="C5" s="5"/>
      <c r="D5" s="5" t="s">
        <v>848</v>
      </c>
      <c r="E5" s="5" t="s">
        <v>410</v>
      </c>
      <c r="F5" s="5"/>
      <c r="G5" s="48"/>
      <c r="H5" s="2"/>
    </row>
    <row r="6" spans="1:9">
      <c r="A6" s="5" t="s">
        <v>850</v>
      </c>
      <c r="B6" s="5" t="s">
        <v>381</v>
      </c>
      <c r="C6" s="5">
        <v>0.38159999999999999</v>
      </c>
      <c r="D6" s="5" t="s">
        <v>848</v>
      </c>
      <c r="E6" s="5" t="s">
        <v>1079</v>
      </c>
      <c r="F6" s="5"/>
      <c r="G6" s="40" t="s">
        <v>852</v>
      </c>
      <c r="H6" s="4"/>
    </row>
    <row r="7" spans="1:9">
      <c r="A7" s="5" t="s">
        <v>850</v>
      </c>
      <c r="B7" s="2" t="s">
        <v>61</v>
      </c>
      <c r="C7" s="5"/>
      <c r="D7" s="5" t="s">
        <v>848</v>
      </c>
      <c r="E7" s="5" t="s">
        <v>1079</v>
      </c>
      <c r="F7" s="5"/>
      <c r="G7" s="40"/>
      <c r="H7" s="4"/>
    </row>
    <row r="8" spans="1:9">
      <c r="A8" s="5" t="s">
        <v>850</v>
      </c>
      <c r="B8" s="2" t="s">
        <v>64</v>
      </c>
      <c r="C8" s="5"/>
      <c r="D8" s="5" t="s">
        <v>848</v>
      </c>
      <c r="E8" s="5" t="s">
        <v>1079</v>
      </c>
      <c r="F8" s="5"/>
      <c r="G8" s="40"/>
      <c r="H8" s="4"/>
    </row>
    <row r="9" spans="1:9">
      <c r="A9" s="5" t="s">
        <v>850</v>
      </c>
      <c r="B9" s="2" t="s">
        <v>65</v>
      </c>
      <c r="C9" s="5"/>
      <c r="D9" s="5" t="s">
        <v>848</v>
      </c>
      <c r="E9" s="5" t="s">
        <v>1079</v>
      </c>
      <c r="F9" s="5"/>
      <c r="G9" s="40"/>
      <c r="H9" s="4"/>
    </row>
    <row r="10" spans="1:9">
      <c r="A10" s="5" t="s">
        <v>853</v>
      </c>
      <c r="B10" s="5" t="s">
        <v>381</v>
      </c>
      <c r="C10" s="5">
        <v>0.56000000000000005</v>
      </c>
      <c r="D10" s="5" t="s">
        <v>848</v>
      </c>
      <c r="E10" s="5" t="s">
        <v>393</v>
      </c>
      <c r="F10" s="5"/>
      <c r="G10" s="38" t="s">
        <v>394</v>
      </c>
      <c r="H10" s="4"/>
      <c r="I10" s="25"/>
    </row>
    <row r="11" spans="1:9">
      <c r="A11" s="5" t="s">
        <v>853</v>
      </c>
      <c r="B11" s="2" t="s">
        <v>61</v>
      </c>
      <c r="C11" s="5"/>
      <c r="D11" s="5" t="s">
        <v>848</v>
      </c>
      <c r="E11" s="5" t="s">
        <v>393</v>
      </c>
      <c r="F11" s="5"/>
      <c r="G11" s="40"/>
      <c r="H11" s="4"/>
      <c r="I11" s="25"/>
    </row>
    <row r="12" spans="1:9">
      <c r="A12" s="5" t="s">
        <v>853</v>
      </c>
      <c r="B12" s="2" t="s">
        <v>64</v>
      </c>
      <c r="C12" s="5"/>
      <c r="D12" s="5" t="s">
        <v>848</v>
      </c>
      <c r="E12" s="5" t="s">
        <v>393</v>
      </c>
      <c r="F12" s="5"/>
      <c r="G12" s="40"/>
      <c r="H12" s="4"/>
      <c r="I12" s="25"/>
    </row>
    <row r="13" spans="1:9">
      <c r="A13" s="5" t="s">
        <v>853</v>
      </c>
      <c r="B13" s="2" t="s">
        <v>65</v>
      </c>
      <c r="C13" s="5"/>
      <c r="D13" s="5" t="s">
        <v>848</v>
      </c>
      <c r="E13" s="5" t="s">
        <v>393</v>
      </c>
      <c r="F13" s="5"/>
      <c r="G13" s="40"/>
      <c r="H13" s="4"/>
      <c r="I13" s="25"/>
    </row>
    <row r="14" spans="1:9" ht="33.950000000000003">
      <c r="A14" s="5" t="s">
        <v>855</v>
      </c>
      <c r="B14" s="5" t="s">
        <v>381</v>
      </c>
      <c r="C14" s="5">
        <v>0.44</v>
      </c>
      <c r="D14" s="5" t="s">
        <v>848</v>
      </c>
      <c r="E14" s="5" t="s">
        <v>1080</v>
      </c>
      <c r="F14" s="5" t="s">
        <v>857</v>
      </c>
      <c r="G14" s="30" t="s">
        <v>72</v>
      </c>
      <c r="H14" s="4"/>
    </row>
    <row r="15" spans="1:9" ht="33.950000000000003">
      <c r="A15" s="5" t="s">
        <v>855</v>
      </c>
      <c r="B15" s="2" t="s">
        <v>61</v>
      </c>
      <c r="C15" s="5"/>
      <c r="D15" s="5" t="s">
        <v>848</v>
      </c>
      <c r="E15" s="5" t="s">
        <v>1080</v>
      </c>
      <c r="F15" s="5"/>
      <c r="G15" s="30" t="s">
        <v>72</v>
      </c>
      <c r="H15" s="4"/>
    </row>
    <row r="16" spans="1:9" ht="33.950000000000003">
      <c r="A16" s="5" t="s">
        <v>855</v>
      </c>
      <c r="B16" s="2" t="s">
        <v>64</v>
      </c>
      <c r="C16" s="5"/>
      <c r="D16" s="5" t="s">
        <v>848</v>
      </c>
      <c r="E16" s="5" t="s">
        <v>1080</v>
      </c>
      <c r="F16" s="5"/>
      <c r="G16" s="30" t="s">
        <v>72</v>
      </c>
      <c r="H16" s="4"/>
    </row>
    <row r="17" spans="1:8" ht="33.950000000000003">
      <c r="A17" s="5" t="s">
        <v>855</v>
      </c>
      <c r="B17" s="2" t="s">
        <v>65</v>
      </c>
      <c r="C17" s="5"/>
      <c r="D17" s="5" t="s">
        <v>848</v>
      </c>
      <c r="E17" s="5" t="s">
        <v>1080</v>
      </c>
      <c r="F17" s="5"/>
      <c r="G17" s="30" t="s">
        <v>72</v>
      </c>
      <c r="H17" s="4"/>
    </row>
    <row r="18" spans="1:8" ht="29.1">
      <c r="A18" s="5" t="s">
        <v>858</v>
      </c>
      <c r="B18" s="5" t="s">
        <v>381</v>
      </c>
      <c r="C18" s="5">
        <v>76</v>
      </c>
      <c r="D18" s="5" t="s">
        <v>848</v>
      </c>
      <c r="E18" s="5" t="s">
        <v>1081</v>
      </c>
      <c r="F18" s="5"/>
      <c r="G18" s="32" t="s">
        <v>432</v>
      </c>
      <c r="H18" s="4"/>
    </row>
    <row r="19" spans="1:8" ht="33.950000000000003">
      <c r="A19" s="5" t="s">
        <v>860</v>
      </c>
      <c r="B19" s="5" t="s">
        <v>381</v>
      </c>
      <c r="C19" s="5" t="s">
        <v>861</v>
      </c>
      <c r="D19" s="5" t="s">
        <v>862</v>
      </c>
      <c r="E19" s="5" t="s">
        <v>1082</v>
      </c>
      <c r="F19" s="5" t="s">
        <v>864</v>
      </c>
      <c r="G19" s="30" t="s">
        <v>74</v>
      </c>
      <c r="H19" s="4"/>
    </row>
    <row r="20" spans="1:8" ht="33.950000000000003">
      <c r="A20" s="5" t="s">
        <v>860</v>
      </c>
      <c r="B20" s="2" t="s">
        <v>61</v>
      </c>
      <c r="C20" s="5"/>
      <c r="D20" s="5" t="s">
        <v>862</v>
      </c>
      <c r="E20" s="5" t="s">
        <v>1082</v>
      </c>
      <c r="F20" s="5"/>
      <c r="G20" s="30" t="s">
        <v>74</v>
      </c>
      <c r="H20" s="4"/>
    </row>
    <row r="21" spans="1:8" ht="33.950000000000003">
      <c r="A21" s="5" t="s">
        <v>860</v>
      </c>
      <c r="B21" s="2" t="s">
        <v>64</v>
      </c>
      <c r="C21" s="5"/>
      <c r="D21" s="5" t="s">
        <v>862</v>
      </c>
      <c r="E21" s="5" t="s">
        <v>1082</v>
      </c>
      <c r="F21" s="5"/>
      <c r="G21" s="30" t="s">
        <v>74</v>
      </c>
      <c r="H21" s="4"/>
    </row>
    <row r="22" spans="1:8" ht="33.950000000000003">
      <c r="A22" s="5" t="s">
        <v>860</v>
      </c>
      <c r="B22" s="2" t="s">
        <v>65</v>
      </c>
      <c r="C22" s="5"/>
      <c r="D22" s="5" t="s">
        <v>862</v>
      </c>
      <c r="E22" s="5" t="s">
        <v>1082</v>
      </c>
      <c r="F22" s="5"/>
      <c r="G22" s="30" t="s">
        <v>74</v>
      </c>
      <c r="H22" s="4"/>
    </row>
    <row r="23" spans="1:8">
      <c r="A23" s="5" t="s">
        <v>865</v>
      </c>
      <c r="B23" s="5" t="s">
        <v>381</v>
      </c>
      <c r="C23" s="5" t="s">
        <v>866</v>
      </c>
      <c r="D23" s="5" t="s">
        <v>862</v>
      </c>
      <c r="E23" s="5" t="s">
        <v>1083</v>
      </c>
      <c r="F23" s="5" t="s">
        <v>868</v>
      </c>
      <c r="G23" s="25" t="s">
        <v>77</v>
      </c>
      <c r="H23" s="4"/>
    </row>
    <row r="24" spans="1:8">
      <c r="A24" s="5" t="s">
        <v>865</v>
      </c>
      <c r="B24" s="2" t="s">
        <v>61</v>
      </c>
      <c r="C24" s="5"/>
      <c r="D24" s="5" t="s">
        <v>862</v>
      </c>
      <c r="E24" s="5" t="s">
        <v>1083</v>
      </c>
      <c r="F24" s="5"/>
      <c r="G24" s="25" t="s">
        <v>77</v>
      </c>
      <c r="H24" s="4"/>
    </row>
    <row r="25" spans="1:8">
      <c r="A25" s="5" t="s">
        <v>865</v>
      </c>
      <c r="B25" s="2" t="s">
        <v>64</v>
      </c>
      <c r="C25" s="5"/>
      <c r="D25" s="5" t="s">
        <v>862</v>
      </c>
      <c r="E25" s="5" t="s">
        <v>1083</v>
      </c>
      <c r="F25" s="5"/>
      <c r="G25" s="25" t="s">
        <v>77</v>
      </c>
      <c r="H25" s="4"/>
    </row>
    <row r="26" spans="1:8">
      <c r="A26" s="5" t="s">
        <v>865</v>
      </c>
      <c r="B26" s="2" t="s">
        <v>65</v>
      </c>
      <c r="C26" s="5"/>
      <c r="D26" s="5" t="s">
        <v>862</v>
      </c>
      <c r="E26" s="5" t="s">
        <v>1083</v>
      </c>
      <c r="F26" s="5"/>
      <c r="G26" s="25" t="s">
        <v>77</v>
      </c>
      <c r="H26" s="4"/>
    </row>
    <row r="27" spans="1:8">
      <c r="A27" s="5" t="s">
        <v>869</v>
      </c>
      <c r="B27" s="5" t="s">
        <v>381</v>
      </c>
      <c r="C27" s="5" t="s">
        <v>870</v>
      </c>
      <c r="D27" s="5" t="s">
        <v>862</v>
      </c>
      <c r="E27" s="5" t="s">
        <v>1084</v>
      </c>
      <c r="F27" s="5" t="s">
        <v>872</v>
      </c>
      <c r="G27" s="25" t="s">
        <v>76</v>
      </c>
      <c r="H27" s="4"/>
    </row>
    <row r="28" spans="1:8">
      <c r="A28" s="5" t="s">
        <v>869</v>
      </c>
      <c r="B28" s="2" t="s">
        <v>61</v>
      </c>
      <c r="C28" s="5"/>
      <c r="D28" s="5" t="s">
        <v>862</v>
      </c>
      <c r="E28" s="5" t="s">
        <v>1084</v>
      </c>
      <c r="F28" s="5"/>
      <c r="G28" s="25" t="s">
        <v>76</v>
      </c>
      <c r="H28" s="4"/>
    </row>
    <row r="29" spans="1:8">
      <c r="A29" s="5" t="s">
        <v>869</v>
      </c>
      <c r="B29" s="2" t="s">
        <v>64</v>
      </c>
      <c r="C29" s="5"/>
      <c r="D29" s="5" t="s">
        <v>862</v>
      </c>
      <c r="E29" s="5" t="s">
        <v>1084</v>
      </c>
      <c r="F29" s="5"/>
      <c r="G29" s="25" t="s">
        <v>76</v>
      </c>
      <c r="H29" s="4"/>
    </row>
    <row r="30" spans="1:8">
      <c r="A30" s="5" t="s">
        <v>869</v>
      </c>
      <c r="B30" s="2" t="s">
        <v>65</v>
      </c>
      <c r="C30" s="5"/>
      <c r="D30" s="5" t="s">
        <v>862</v>
      </c>
      <c r="E30" s="5" t="s">
        <v>1084</v>
      </c>
      <c r="F30" s="5"/>
      <c r="G30" s="25" t="s">
        <v>76</v>
      </c>
      <c r="H30" s="4"/>
    </row>
    <row r="31" spans="1:8">
      <c r="A31" s="5" t="s">
        <v>873</v>
      </c>
      <c r="B31" s="5" t="s">
        <v>381</v>
      </c>
      <c r="C31" s="5" t="s">
        <v>874</v>
      </c>
      <c r="D31" s="5" t="s">
        <v>862</v>
      </c>
      <c r="E31" s="5" t="s">
        <v>1085</v>
      </c>
      <c r="F31" s="5" t="s">
        <v>876</v>
      </c>
      <c r="G31" s="25" t="s">
        <v>75</v>
      </c>
      <c r="H31" s="2"/>
    </row>
    <row r="32" spans="1:8">
      <c r="A32" s="5" t="s">
        <v>873</v>
      </c>
      <c r="B32" s="5" t="s">
        <v>61</v>
      </c>
      <c r="C32" s="5"/>
      <c r="D32" s="5" t="s">
        <v>862</v>
      </c>
      <c r="E32" s="5" t="s">
        <v>1085</v>
      </c>
      <c r="F32" s="5"/>
      <c r="G32" s="25" t="s">
        <v>75</v>
      </c>
      <c r="H32" s="2"/>
    </row>
    <row r="33" spans="1:8">
      <c r="A33" s="5" t="s">
        <v>873</v>
      </c>
      <c r="B33" s="5" t="s">
        <v>64</v>
      </c>
      <c r="C33" s="5"/>
      <c r="D33" s="5" t="s">
        <v>862</v>
      </c>
      <c r="E33" s="5" t="s">
        <v>1085</v>
      </c>
      <c r="F33" s="5"/>
      <c r="G33" s="25" t="s">
        <v>75</v>
      </c>
      <c r="H33" s="2"/>
    </row>
    <row r="34" spans="1:8">
      <c r="A34" s="5" t="s">
        <v>873</v>
      </c>
      <c r="B34" s="5" t="s">
        <v>65</v>
      </c>
      <c r="C34" s="5"/>
      <c r="D34" s="5" t="s">
        <v>862</v>
      </c>
      <c r="E34" s="5" t="s">
        <v>1085</v>
      </c>
      <c r="F34" s="5"/>
      <c r="G34" s="25" t="s">
        <v>75</v>
      </c>
      <c r="H34" s="2"/>
    </row>
    <row r="35" spans="1:8" ht="75.95">
      <c r="A35" s="5" t="s">
        <v>877</v>
      </c>
      <c r="B35" s="5" t="s">
        <v>381</v>
      </c>
      <c r="C35" s="5">
        <v>0.05</v>
      </c>
      <c r="D35" s="5" t="s">
        <v>848</v>
      </c>
      <c r="E35" s="40" t="s">
        <v>1086</v>
      </c>
      <c r="F35" s="40" t="s">
        <v>879</v>
      </c>
      <c r="G35" s="30" t="s">
        <v>880</v>
      </c>
      <c r="H35" s="2"/>
    </row>
    <row r="36" spans="1:8" ht="75.95">
      <c r="A36" s="5" t="s">
        <v>877</v>
      </c>
      <c r="B36" s="5" t="s">
        <v>61</v>
      </c>
      <c r="C36" s="5">
        <v>0.05</v>
      </c>
      <c r="D36" s="5" t="s">
        <v>848</v>
      </c>
      <c r="E36" s="40" t="s">
        <v>1086</v>
      </c>
      <c r="F36" s="40" t="s">
        <v>879</v>
      </c>
      <c r="G36" s="30" t="s">
        <v>880</v>
      </c>
      <c r="H36" s="2"/>
    </row>
    <row r="37" spans="1:8" ht="75.95">
      <c r="A37" s="5" t="s">
        <v>877</v>
      </c>
      <c r="B37" s="5" t="s">
        <v>64</v>
      </c>
      <c r="C37" s="5">
        <v>0.05</v>
      </c>
      <c r="D37" s="5" t="s">
        <v>848</v>
      </c>
      <c r="E37" s="40" t="s">
        <v>1086</v>
      </c>
      <c r="F37" s="40" t="s">
        <v>879</v>
      </c>
      <c r="G37" s="30" t="s">
        <v>880</v>
      </c>
      <c r="H37" s="2"/>
    </row>
    <row r="38" spans="1:8" ht="75.95">
      <c r="A38" s="5" t="s">
        <v>877</v>
      </c>
      <c r="B38" s="5" t="s">
        <v>65</v>
      </c>
      <c r="C38" s="5">
        <v>0.05</v>
      </c>
      <c r="D38" s="5" t="s">
        <v>848</v>
      </c>
      <c r="E38" s="40" t="s">
        <v>1086</v>
      </c>
      <c r="F38" s="40" t="s">
        <v>879</v>
      </c>
      <c r="G38" s="30" t="s">
        <v>880</v>
      </c>
      <c r="H38" s="2"/>
    </row>
    <row r="39" spans="1:8">
      <c r="A39" s="2"/>
      <c r="B39" s="2"/>
      <c r="C39" s="2"/>
      <c r="D39" s="2"/>
      <c r="E39" s="2"/>
      <c r="F39" s="2"/>
      <c r="G39" s="39"/>
      <c r="H39" s="2"/>
    </row>
    <row r="40" spans="1:8">
      <c r="A40" s="2"/>
      <c r="B40" s="2"/>
      <c r="C40" s="2"/>
      <c r="D40" s="2"/>
      <c r="E40" s="2"/>
      <c r="F40" s="2"/>
      <c r="G40" s="39"/>
      <c r="H40" s="2"/>
    </row>
    <row r="41" spans="1:8">
      <c r="A41" s="2"/>
      <c r="B41" s="2"/>
      <c r="C41" s="2"/>
      <c r="D41" s="2"/>
      <c r="E41" s="2"/>
      <c r="F41" s="2"/>
      <c r="G41" s="39"/>
      <c r="H41" s="2"/>
    </row>
    <row r="42" spans="1:8">
      <c r="A42" s="2"/>
      <c r="B42" s="2"/>
      <c r="C42" s="2"/>
      <c r="D42" s="2"/>
      <c r="E42" s="2"/>
      <c r="F42" s="2"/>
      <c r="G42" s="39"/>
      <c r="H42" s="2"/>
    </row>
    <row r="43" spans="1:8">
      <c r="A43" s="2"/>
      <c r="B43" s="2"/>
      <c r="C43" s="2"/>
      <c r="D43" s="2"/>
      <c r="E43" s="2"/>
      <c r="F43" s="2"/>
      <c r="G43" s="39"/>
      <c r="H43" s="2"/>
    </row>
    <row r="44" spans="1:8">
      <c r="A44" s="2"/>
      <c r="B44" s="2"/>
      <c r="C44" s="2"/>
      <c r="D44" s="2"/>
      <c r="E44" s="2"/>
      <c r="F44" s="2"/>
      <c r="G44" s="39"/>
      <c r="H44" s="2"/>
    </row>
    <row r="45" spans="1:8">
      <c r="A45" s="2"/>
      <c r="B45" s="2"/>
      <c r="C45" s="2"/>
      <c r="D45" s="2"/>
      <c r="E45" s="2"/>
      <c r="F45" s="2"/>
      <c r="G45" s="39"/>
      <c r="H45" s="2"/>
    </row>
    <row r="46" spans="1:8">
      <c r="A46" s="2"/>
      <c r="B46" s="2"/>
      <c r="C46" s="2"/>
      <c r="D46" s="2"/>
      <c r="E46" s="2"/>
      <c r="F46" s="2"/>
      <c r="G46" s="39"/>
      <c r="H46" s="2"/>
    </row>
  </sheetData>
  <phoneticPr fontId="7" type="noConversion"/>
  <hyperlinks>
    <hyperlink ref="G2" r:id="rId1" display="https://dash.harvard.edu/handle/1/42676027" xr:uid="{E7A7B478-F551-0D4D-A928-BBCE890D5070}"/>
    <hyperlink ref="G14" r:id="rId2" location=":~:text=Discovering%20IV%20iron%27s%20untapped%20market,IV%20iron%20out%20of" display="https://www.re-solveglobalhealth.com/post/discovering-iv-iron-s-untapped-market-in-lmics-drip-by-drip - :~:text=Discovering%20IV%20iron%27s%20untapped%20market,IV%20iron%20out%20of" xr:uid="{9ACD8987-87B0-CE4E-8F71-150F6C88AAAB}"/>
    <hyperlink ref="G19" r:id="rId3" display="https://www.nature.com/articles/s41591-024-03069-5" xr:uid="{2D1A97E6-2052-404C-A0DB-9EF0E0344843}"/>
    <hyperlink ref="G27" r:id="rId4" display="https://journals.plos.org/plosone/article?id=10.1371%2Fjournal.pone.0270048" xr:uid="{03E95429-4F00-B64C-95BD-3E550D3224C7}"/>
    <hyperlink ref="G23" r:id="rId5" display="https://www.nature.com/articles/s41598-020-72144-x" xr:uid="{1D125037-8692-3346-9DD6-46B3CB214D6E}"/>
    <hyperlink ref="G32" r:id="rId6" display="https://bmjopen.bmj.com/content/11/1/e042948" xr:uid="{B363B339-6195-674A-B2A4-164667B9B9BF}"/>
    <hyperlink ref="G33" r:id="rId7" display="https://bmjopen.bmj.com/content/11/1/e042948" xr:uid="{AF365826-0345-F740-8CC5-23A8A63040B8}"/>
    <hyperlink ref="G34" r:id="rId8" display="https://bmjopen.bmj.com/content/11/1/e042948" xr:uid="{C0B7D53B-AB41-654B-9FFB-167A86B2666C}"/>
    <hyperlink ref="G28" r:id="rId9" display="https://journals.plos.org/plosone/article?id=10.1371%2Fjournal.pone.0270048" xr:uid="{93E763A8-83F0-8A4D-8AD8-A11055FB087D}"/>
    <hyperlink ref="G31" r:id="rId10" display="https://bmjopen.bmj.com/content/11/1/e042948" xr:uid="{EAF7E180-A540-284F-870F-BBDCDD18CA20}"/>
    <hyperlink ref="G29" r:id="rId11" display="https://journals.plos.org/plosone/article?id=10.1371%2Fjournal.pone.0270048" xr:uid="{76D4A0AD-55E6-954F-92DC-7B4DD54AABE3}"/>
    <hyperlink ref="G30" r:id="rId12" display="https://journals.plos.org/plosone/article?id=10.1371%2Fjournal.pone.0270048" xr:uid="{232B7334-3F99-CF40-BB16-683BDBBC0011}"/>
    <hyperlink ref="G24" r:id="rId13" display="https://www.nature.com/articles/s41598-020-72144-x" xr:uid="{22DA87CF-09FE-4949-90C5-ED9B7566B358}"/>
    <hyperlink ref="G25" r:id="rId14" display="https://www.nature.com/articles/s41598-020-72144-x" xr:uid="{1066C664-99E3-214D-98C6-96AE9198C03C}"/>
    <hyperlink ref="G26" r:id="rId15" display="https://www.nature.com/articles/s41598-020-72144-x" xr:uid="{97D1248F-0C43-0441-AAD3-E98097FAA56E}"/>
    <hyperlink ref="G20" r:id="rId16" display="https://www.nature.com/articles/s41591-024-03069-5" xr:uid="{2EEC2D21-2AA3-CF41-9AA0-8E06A03B2765}"/>
    <hyperlink ref="G21" r:id="rId17" display="https://www.nature.com/articles/s41591-024-03069-5" xr:uid="{D1AE8076-BB3C-FE45-9D78-8D15523A8DAF}"/>
    <hyperlink ref="G22" r:id="rId18" display="https://www.nature.com/articles/s41591-024-03069-5" xr:uid="{53399FAE-4973-CA41-986D-635725593887}"/>
    <hyperlink ref="G15" r:id="rId19" location=":~:text=Discovering%20IV%20iron%27s%20untapped%20market,IV%20iron%20out%20of" display="https://www.re-solveglobalhealth.com/post/discovering-iv-iron-s-untapped-market-in-lmics-drip-by-drip - :~:text=Discovering%20IV%20iron%27s%20untapped%20market,IV%20iron%20out%20of" xr:uid="{2AA40C61-F699-7A43-AACB-374EEC4FB28A}"/>
    <hyperlink ref="G16" r:id="rId20" location=":~:text=Discovering%20IV%20iron%27s%20untapped%20market,IV%20iron%20out%20of" display="https://www.re-solveglobalhealth.com/post/discovering-iv-iron-s-untapped-market-in-lmics-drip-by-drip - :~:text=Discovering%20IV%20iron%27s%20untapped%20market,IV%20iron%20out%20of" xr:uid="{D7372439-F139-364B-BD3C-9B2FEC01061E}"/>
    <hyperlink ref="G17" r:id="rId21" location=":~:text=Discovering%20IV%20iron%27s%20untapped%20market,IV%20iron%20out%20of" display="https://www.re-solveglobalhealth.com/post/discovering-iv-iron-s-untapped-market-in-lmics-drip-by-drip - :~:text=Discovering%20IV%20iron%27s%20untapped%20market,IV%20iron%20out%20of" xr:uid="{FD86AAB5-CF14-7849-B16A-8DE4E83BF8F3}"/>
    <hyperlink ref="G35" r:id="rId22" xr:uid="{3531193F-C686-5E49-BDE9-95FE105DF310}"/>
    <hyperlink ref="G36" r:id="rId23" xr:uid="{6CF7A850-0ED2-4940-A583-028470B76B10}"/>
    <hyperlink ref="G37" r:id="rId24" xr:uid="{4B4747F7-9BEE-B648-B35F-74E1547E6ED6}"/>
    <hyperlink ref="G38" r:id="rId25" xr:uid="{FCFA5846-11D1-F043-B2E5-668CE7C74639}"/>
  </hyperlinks>
  <pageMargins left="0.7" right="0.7" top="0.75" bottom="0.75" header="0.3" footer="0.3"/>
  <tableParts count="1">
    <tablePart r:id="rId26"/>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ABB8-DF5B-EA45-B26C-A694754F9F23}">
  <sheetPr>
    <tabColor theme="9"/>
  </sheetPr>
  <dimension ref="A1:F47"/>
  <sheetViews>
    <sheetView showGridLines="0" workbookViewId="0">
      <pane ySplit="1" topLeftCell="A2" activePane="bottomLeft" state="frozen"/>
      <selection pane="bottomLeft" activeCell="I3" sqref="I3"/>
    </sheetView>
  </sheetViews>
  <sheetFormatPr defaultColWidth="11" defaultRowHeight="15.95"/>
  <cols>
    <col min="1" max="1" width="17.125" bestFit="1" customWidth="1"/>
    <col min="3" max="3" width="9.125" bestFit="1" customWidth="1"/>
    <col min="4" max="4" width="27.375" bestFit="1" customWidth="1"/>
    <col min="5" max="5" width="51.5" style="29" customWidth="1"/>
    <col min="6" max="6" width="11.875" bestFit="1" customWidth="1"/>
  </cols>
  <sheetData>
    <row r="1" spans="1:6">
      <c r="A1" s="1" t="s">
        <v>1024</v>
      </c>
      <c r="B1" s="1" t="s">
        <v>1025</v>
      </c>
      <c r="C1" s="1" t="s">
        <v>90</v>
      </c>
      <c r="D1" s="1" t="s">
        <v>96</v>
      </c>
      <c r="E1" s="37" t="s">
        <v>97</v>
      </c>
      <c r="F1" s="1" t="s">
        <v>98</v>
      </c>
    </row>
    <row r="2" spans="1:6" ht="75.95">
      <c r="A2" s="5" t="s">
        <v>881</v>
      </c>
      <c r="B2" s="5">
        <v>0.56000000000000005</v>
      </c>
      <c r="C2" s="5">
        <v>0.25556499999999999</v>
      </c>
      <c r="D2" s="5" t="s">
        <v>882</v>
      </c>
      <c r="E2" s="46" t="s">
        <v>883</v>
      </c>
      <c r="F2" s="36" t="s">
        <v>884</v>
      </c>
    </row>
    <row r="3" spans="1:6">
      <c r="A3" s="5" t="s">
        <v>881</v>
      </c>
      <c r="B3" s="5">
        <v>0.57999999999999996</v>
      </c>
      <c r="C3" s="5">
        <v>0.26352999999999999</v>
      </c>
      <c r="D3" s="5" t="s">
        <v>885</v>
      </c>
      <c r="E3" s="40"/>
      <c r="F3" s="36" t="s">
        <v>884</v>
      </c>
    </row>
    <row r="4" spans="1:6">
      <c r="A4" s="5" t="s">
        <v>881</v>
      </c>
      <c r="B4" s="5">
        <v>0.6</v>
      </c>
      <c r="C4" s="5">
        <v>0.27029799999999998</v>
      </c>
      <c r="D4" s="5" t="s">
        <v>886</v>
      </c>
      <c r="E4" s="40"/>
      <c r="F4" s="36" t="s">
        <v>884</v>
      </c>
    </row>
    <row r="5" spans="1:6">
      <c r="A5" s="5" t="s">
        <v>881</v>
      </c>
      <c r="B5" s="5">
        <v>0.62</v>
      </c>
      <c r="C5" s="5">
        <v>0.27773599999999998</v>
      </c>
      <c r="D5" s="5" t="s">
        <v>887</v>
      </c>
      <c r="E5" s="40"/>
      <c r="F5" s="36" t="s">
        <v>884</v>
      </c>
    </row>
    <row r="6" spans="1:6">
      <c r="A6" s="5" t="s">
        <v>881</v>
      </c>
      <c r="B6" s="5">
        <v>0.64</v>
      </c>
      <c r="C6" s="5">
        <v>0.28419899999999998</v>
      </c>
      <c r="D6" s="5" t="s">
        <v>888</v>
      </c>
      <c r="E6" s="40"/>
      <c r="F6" s="36" t="s">
        <v>884</v>
      </c>
    </row>
    <row r="7" spans="1:6">
      <c r="A7" s="5" t="s">
        <v>881</v>
      </c>
      <c r="B7" s="5">
        <v>0.66</v>
      </c>
      <c r="C7" s="5">
        <v>0.291049</v>
      </c>
      <c r="D7" s="5" t="s">
        <v>889</v>
      </c>
      <c r="E7" s="40"/>
      <c r="F7" s="36" t="s">
        <v>884</v>
      </c>
    </row>
    <row r="8" spans="1:6">
      <c r="A8" s="5" t="s">
        <v>881</v>
      </c>
      <c r="B8" s="5">
        <v>0.68</v>
      </c>
      <c r="C8" s="5">
        <v>0.29649199999999998</v>
      </c>
      <c r="D8" s="5" t="s">
        <v>890</v>
      </c>
      <c r="E8" s="40"/>
      <c r="F8" s="36" t="s">
        <v>884</v>
      </c>
    </row>
    <row r="9" spans="1:6">
      <c r="A9" s="5" t="s">
        <v>881</v>
      </c>
      <c r="B9" s="5">
        <v>0.7</v>
      </c>
      <c r="C9" s="5">
        <v>0.304284</v>
      </c>
      <c r="D9" s="5" t="s">
        <v>891</v>
      </c>
      <c r="E9" s="40"/>
      <c r="F9" s="36" t="s">
        <v>884</v>
      </c>
    </row>
    <row r="10" spans="1:6">
      <c r="A10" s="5" t="s">
        <v>881</v>
      </c>
      <c r="B10" s="5">
        <v>0.72</v>
      </c>
      <c r="C10" s="5">
        <v>0.31103500000000001</v>
      </c>
      <c r="D10" s="5" t="s">
        <v>892</v>
      </c>
      <c r="E10" s="40"/>
      <c r="F10" s="36" t="s">
        <v>884</v>
      </c>
    </row>
    <row r="11" spans="1:6">
      <c r="A11" s="5" t="s">
        <v>881</v>
      </c>
      <c r="B11" s="5">
        <v>0.74</v>
      </c>
      <c r="C11" s="5">
        <v>0.31858799999999998</v>
      </c>
      <c r="D11" s="5" t="s">
        <v>893</v>
      </c>
      <c r="E11" s="40"/>
      <c r="F11" s="36" t="s">
        <v>884</v>
      </c>
    </row>
    <row r="12" spans="1:6">
      <c r="A12" s="5" t="s">
        <v>881</v>
      </c>
      <c r="B12" s="5">
        <v>0.76</v>
      </c>
      <c r="C12" s="5">
        <v>0.32582100000000003</v>
      </c>
      <c r="D12" s="5" t="s">
        <v>894</v>
      </c>
      <c r="E12" s="40"/>
      <c r="F12" s="36" t="s">
        <v>884</v>
      </c>
    </row>
    <row r="13" spans="1:6">
      <c r="A13" s="5" t="s">
        <v>881</v>
      </c>
      <c r="B13" s="5">
        <v>0.78</v>
      </c>
      <c r="C13" s="5">
        <v>0.33354499999999998</v>
      </c>
      <c r="D13" s="5" t="s">
        <v>895</v>
      </c>
      <c r="E13" s="40"/>
      <c r="F13" s="36" t="s">
        <v>884</v>
      </c>
    </row>
    <row r="14" spans="1:6">
      <c r="A14" s="5" t="s">
        <v>881</v>
      </c>
      <c r="B14" s="5">
        <v>0.8</v>
      </c>
      <c r="C14" s="5">
        <v>0.33976400000000001</v>
      </c>
      <c r="D14" s="5" t="s">
        <v>896</v>
      </c>
      <c r="E14" s="40"/>
      <c r="F14" s="36" t="s">
        <v>884</v>
      </c>
    </row>
    <row r="15" spans="1:6">
      <c r="A15" s="5" t="s">
        <v>881</v>
      </c>
      <c r="B15" s="5">
        <v>0.82</v>
      </c>
      <c r="C15" s="5">
        <v>0.34668399999999999</v>
      </c>
      <c r="D15" s="5" t="s">
        <v>897</v>
      </c>
      <c r="E15" s="40"/>
      <c r="F15" s="36" t="s">
        <v>884</v>
      </c>
    </row>
    <row r="16" spans="1:6">
      <c r="A16" s="5" t="s">
        <v>881</v>
      </c>
      <c r="B16" s="5">
        <v>0.84</v>
      </c>
      <c r="C16" s="5">
        <v>0.35390100000000002</v>
      </c>
      <c r="D16" s="5" t="s">
        <v>898</v>
      </c>
      <c r="E16" s="40"/>
      <c r="F16" s="36" t="s">
        <v>884</v>
      </c>
    </row>
    <row r="17" spans="1:6">
      <c r="A17" s="5" t="s">
        <v>881</v>
      </c>
      <c r="B17" s="5">
        <v>0.86</v>
      </c>
      <c r="C17" s="5">
        <v>0.36054599999999998</v>
      </c>
      <c r="D17" s="5" t="s">
        <v>899</v>
      </c>
      <c r="E17" s="40"/>
      <c r="F17" s="36" t="s">
        <v>884</v>
      </c>
    </row>
    <row r="18" spans="1:6">
      <c r="A18" s="5" t="s">
        <v>881</v>
      </c>
      <c r="B18" s="5">
        <v>0.88</v>
      </c>
      <c r="C18" s="5">
        <v>0.367761</v>
      </c>
      <c r="D18" s="5" t="s">
        <v>900</v>
      </c>
      <c r="E18" s="40"/>
      <c r="F18" s="36" t="s">
        <v>884</v>
      </c>
    </row>
    <row r="19" spans="1:6">
      <c r="A19" s="5" t="s">
        <v>881</v>
      </c>
      <c r="B19" s="5">
        <v>0.9</v>
      </c>
      <c r="C19" s="5">
        <v>0.374581</v>
      </c>
      <c r="D19" s="5" t="s">
        <v>901</v>
      </c>
      <c r="E19" s="40"/>
      <c r="F19" s="36" t="s">
        <v>884</v>
      </c>
    </row>
    <row r="20" spans="1:6">
      <c r="A20" s="5" t="s">
        <v>881</v>
      </c>
      <c r="B20" s="5">
        <v>0.92</v>
      </c>
      <c r="C20" s="5">
        <v>0.38114999999999999</v>
      </c>
      <c r="D20" s="5" t="s">
        <v>902</v>
      </c>
      <c r="E20" s="40"/>
      <c r="F20" s="36" t="s">
        <v>884</v>
      </c>
    </row>
    <row r="21" spans="1:6">
      <c r="A21" s="5" t="s">
        <v>881</v>
      </c>
      <c r="B21" s="5">
        <v>0.94</v>
      </c>
      <c r="C21" s="5">
        <v>0.38903199999999999</v>
      </c>
      <c r="D21" s="5" t="s">
        <v>903</v>
      </c>
      <c r="E21" s="40"/>
      <c r="F21" s="36" t="s">
        <v>884</v>
      </c>
    </row>
    <row r="22" spans="1:6">
      <c r="A22" s="5" t="s">
        <v>881</v>
      </c>
      <c r="B22" s="5">
        <v>0.96</v>
      </c>
      <c r="C22" s="5">
        <v>0.39443299999999998</v>
      </c>
      <c r="D22" s="5" t="s">
        <v>904</v>
      </c>
      <c r="E22" s="40"/>
      <c r="F22" s="36" t="s">
        <v>884</v>
      </c>
    </row>
    <row r="23" spans="1:6">
      <c r="A23" s="5" t="s">
        <v>881</v>
      </c>
      <c r="B23" s="5">
        <v>0.98</v>
      </c>
      <c r="C23" s="5">
        <v>0.401752</v>
      </c>
      <c r="D23" s="5" t="s">
        <v>905</v>
      </c>
      <c r="E23" s="40"/>
      <c r="F23" s="36" t="s">
        <v>884</v>
      </c>
    </row>
    <row r="24" spans="1:6">
      <c r="A24" s="5" t="s">
        <v>881</v>
      </c>
      <c r="B24" s="5">
        <v>1</v>
      </c>
      <c r="C24" s="5">
        <v>0.40764800000000001</v>
      </c>
      <c r="D24" s="5" t="s">
        <v>906</v>
      </c>
      <c r="E24" s="40"/>
      <c r="F24" s="36" t="s">
        <v>884</v>
      </c>
    </row>
    <row r="25" spans="1:6">
      <c r="A25" s="2"/>
      <c r="B25" s="2"/>
      <c r="C25" s="2"/>
      <c r="D25" s="2"/>
    </row>
    <row r="26" spans="1:6">
      <c r="A26" s="2"/>
      <c r="B26" s="2"/>
      <c r="C26" s="2"/>
      <c r="D26" s="2"/>
    </row>
    <row r="27" spans="1:6">
      <c r="A27" s="2"/>
      <c r="B27" s="2"/>
      <c r="C27" s="2"/>
      <c r="D27" s="2"/>
    </row>
    <row r="28" spans="1:6">
      <c r="A28" s="2"/>
      <c r="B28" s="2"/>
      <c r="C28" s="2"/>
      <c r="D28" s="2"/>
    </row>
    <row r="29" spans="1:6">
      <c r="A29" s="2"/>
      <c r="B29" s="2"/>
      <c r="C29" s="2"/>
      <c r="D29" s="2"/>
    </row>
    <row r="30" spans="1:6">
      <c r="A30" s="2"/>
      <c r="B30" s="2"/>
      <c r="C30" s="2"/>
      <c r="D30" s="2"/>
    </row>
    <row r="31" spans="1:6">
      <c r="A31" s="2"/>
      <c r="B31" s="2"/>
      <c r="C31" s="2"/>
      <c r="D31" s="2"/>
    </row>
    <row r="32" spans="1:6">
      <c r="A32" s="2"/>
      <c r="B32" s="2"/>
      <c r="C32" s="2"/>
      <c r="D32" s="2"/>
    </row>
    <row r="33" spans="1:4">
      <c r="A33" s="2"/>
      <c r="B33" s="2"/>
      <c r="C33" s="2"/>
      <c r="D33" s="2"/>
    </row>
    <row r="34" spans="1:4">
      <c r="A34" s="2"/>
      <c r="B34" s="2"/>
      <c r="C34" s="2"/>
      <c r="D34" s="2"/>
    </row>
    <row r="35" spans="1:4">
      <c r="A35" s="2"/>
      <c r="B35" s="2"/>
      <c r="C35" s="2"/>
      <c r="D35" s="2"/>
    </row>
    <row r="36" spans="1:4">
      <c r="A36" s="2"/>
      <c r="B36" s="2"/>
      <c r="C36" s="2"/>
      <c r="D36" s="2"/>
    </row>
    <row r="37" spans="1:4">
      <c r="A37" s="2"/>
      <c r="B37" s="2"/>
      <c r="C37" s="2"/>
      <c r="D37" s="2"/>
    </row>
    <row r="38" spans="1:4">
      <c r="A38" s="2"/>
      <c r="B38" s="2"/>
      <c r="C38" s="2"/>
      <c r="D38" s="2"/>
    </row>
    <row r="39" spans="1:4">
      <c r="A39" s="2"/>
      <c r="B39" s="2"/>
      <c r="C39" s="2"/>
      <c r="D39" s="2"/>
    </row>
    <row r="40" spans="1:4">
      <c r="A40" s="2"/>
      <c r="B40" s="2"/>
      <c r="C40" s="2"/>
      <c r="D40" s="2"/>
    </row>
    <row r="41" spans="1:4">
      <c r="A41" s="2"/>
      <c r="B41" s="2"/>
      <c r="C41" s="2"/>
      <c r="D41" s="2"/>
    </row>
    <row r="42" spans="1:4">
      <c r="A42" s="2"/>
      <c r="B42" s="2"/>
      <c r="C42" s="2"/>
      <c r="D42" s="2"/>
    </row>
    <row r="43" spans="1:4">
      <c r="A43" s="2"/>
      <c r="B43" s="2"/>
      <c r="C43" s="2"/>
      <c r="D43" s="2"/>
    </row>
    <row r="44" spans="1:4">
      <c r="A44" s="2"/>
      <c r="B44" s="2"/>
      <c r="C44" s="2"/>
      <c r="D44" s="2"/>
    </row>
    <row r="45" spans="1:4">
      <c r="A45" s="2"/>
      <c r="B45" s="2"/>
      <c r="C45" s="2"/>
      <c r="D45" s="2"/>
    </row>
    <row r="46" spans="1:4">
      <c r="A46" s="2"/>
      <c r="B46" s="2"/>
      <c r="C46" s="2"/>
      <c r="D46" s="2"/>
    </row>
    <row r="47" spans="1:4">
      <c r="A47" s="2"/>
      <c r="B47" s="2"/>
      <c r="C47" s="2"/>
      <c r="D47"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3AD670-6CA6-6544-9A83-79B1FC7580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Meibin Chen</dc:creator>
  <cp:keywords/>
  <dc:description/>
  <cp:lastModifiedBy/>
  <cp:revision/>
  <dcterms:created xsi:type="dcterms:W3CDTF">2026-03-24T15:35:18Z</dcterms:created>
  <dcterms:modified xsi:type="dcterms:W3CDTF">2026-05-10T23:28:02Z</dcterms:modified>
  <cp:category/>
  <cp:contentStatus/>
</cp:coreProperties>
</file>